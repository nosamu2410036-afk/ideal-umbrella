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952" yWindow="180" windowWidth="20280" windowHeight="12108" tabRatio="600" firstSheet="0" activeTab="0" autoFilterDateGrouping="1"/>
  </bookViews>
  <sheets>
    <sheet name="日々入力" sheetId="1" state="visible" r:id="rId1"/>
    <sheet name="Sheet1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2">
    <font>
      <name val="游ゴシック"/>
      <charset val="128"/>
      <family val="2"/>
      <color theme="1"/>
      <sz val="11"/>
      <scheme val="minor"/>
    </font>
    <font>
      <name val="游ゴシック"/>
      <charset val="128"/>
      <family val="2"/>
      <sz val="6"/>
      <scheme val="minor"/>
    </font>
  </fonts>
  <fills count="7">
    <fill>
      <patternFill/>
    </fill>
    <fill>
      <patternFill patternType="gray125"/>
    </fill>
    <fill>
      <patternFill patternType="solid">
        <fgColor theme="9" tint="0.7999816888943144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7999816888943144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</borders>
  <cellStyleXfs count="1">
    <xf numFmtId="0" fontId="0" fillId="0" borderId="0" applyAlignment="1">
      <alignment vertical="center"/>
    </xf>
  </cellStyleXfs>
  <cellXfs count="62">
    <xf numFmtId="0" fontId="0" fillId="0" borderId="0" applyAlignment="1" pivotButton="0" quotePrefix="0" xfId="0">
      <alignment vertical="center"/>
    </xf>
    <xf numFmtId="56" fontId="0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/>
    </xf>
    <xf numFmtId="0" fontId="0" fillId="2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  <xf numFmtId="1" fontId="0" fillId="0" borderId="0" applyAlignment="1" pivotButton="0" quotePrefix="0" xfId="0">
      <alignment vertical="center"/>
    </xf>
    <xf numFmtId="2" fontId="0" fillId="0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56" fontId="0" fillId="0" borderId="1" applyAlignment="1" pivotButton="0" quotePrefix="0" xfId="0">
      <alignment vertical="center"/>
    </xf>
    <xf numFmtId="164" fontId="0" fillId="0" borderId="1" applyAlignment="1" pivotButton="0" quotePrefix="0" xfId="0">
      <alignment vertical="center"/>
    </xf>
    <xf numFmtId="164" fontId="0" fillId="0" borderId="3" applyAlignment="1" pivotButton="0" quotePrefix="0" xfId="0">
      <alignment vertical="center"/>
    </xf>
    <xf numFmtId="0" fontId="0" fillId="0" borderId="3" applyAlignment="1" pivotButton="0" quotePrefix="0" xfId="0">
      <alignment vertical="center"/>
    </xf>
    <xf numFmtId="2" fontId="0" fillId="0" borderId="3" applyAlignment="1" pivotButton="0" quotePrefix="0" xfId="0">
      <alignment vertical="center"/>
    </xf>
    <xf numFmtId="0" fontId="0" fillId="0" borderId="4" applyAlignment="1" pivotButton="0" quotePrefix="0" xfId="0">
      <alignment vertical="center"/>
    </xf>
    <xf numFmtId="0" fontId="0" fillId="0" borderId="5" applyAlignment="1" pivotButton="0" quotePrefix="0" xfId="0">
      <alignment vertical="center"/>
    </xf>
    <xf numFmtId="0" fontId="0" fillId="3" borderId="1" applyAlignment="1" pivotButton="0" quotePrefix="0" xfId="0">
      <alignment vertical="center"/>
    </xf>
    <xf numFmtId="0" fontId="0" fillId="3" borderId="5" applyAlignment="1" pivotButton="0" quotePrefix="0" xfId="0">
      <alignment vertical="center"/>
    </xf>
    <xf numFmtId="164" fontId="0" fillId="3" borderId="0" applyAlignment="1" pivotButton="0" quotePrefix="0" xfId="0">
      <alignment vertical="center"/>
    </xf>
    <xf numFmtId="0" fontId="0" fillId="4" borderId="0" applyAlignment="1" pivotButton="0" quotePrefix="0" xfId="0">
      <alignment vertical="center"/>
    </xf>
    <xf numFmtId="164" fontId="0" fillId="4" borderId="0" applyAlignment="1" pivotButton="0" quotePrefix="0" xfId="0">
      <alignment vertical="center"/>
    </xf>
    <xf numFmtId="0" fontId="0" fillId="4" borderId="4" applyAlignment="1" pivotButton="0" quotePrefix="0" xfId="0">
      <alignment vertical="center"/>
    </xf>
    <xf numFmtId="2" fontId="0" fillId="4" borderId="0" applyAlignment="1" pivotButton="0" quotePrefix="0" xfId="0">
      <alignment vertical="center"/>
    </xf>
    <xf numFmtId="2" fontId="0" fillId="4" borderId="3" applyAlignment="1" pivotButton="0" quotePrefix="0" xfId="0">
      <alignment vertical="center"/>
    </xf>
    <xf numFmtId="164" fontId="0" fillId="4" borderId="3" applyAlignment="1" pivotButton="0" quotePrefix="0" xfId="0">
      <alignment vertical="center"/>
    </xf>
    <xf numFmtId="164" fontId="0" fillId="5" borderId="0" applyAlignment="1" pivotButton="0" quotePrefix="0" xfId="0">
      <alignment vertical="center"/>
    </xf>
    <xf numFmtId="1" fontId="0" fillId="4" borderId="0" applyAlignment="1" pivotButton="0" quotePrefix="0" xfId="0">
      <alignment vertical="center"/>
    </xf>
    <xf numFmtId="0" fontId="0" fillId="0" borderId="7" applyAlignment="1" pivotButton="0" quotePrefix="0" xfId="0">
      <alignment vertical="center"/>
    </xf>
    <xf numFmtId="164" fontId="0" fillId="0" borderId="5" applyAlignment="1" pivotButton="0" quotePrefix="0" xfId="0">
      <alignment vertical="center"/>
    </xf>
    <xf numFmtId="1" fontId="0" fillId="0" borderId="1" applyAlignment="1" pivotButton="0" quotePrefix="0" xfId="0">
      <alignment vertical="center"/>
    </xf>
    <xf numFmtId="0" fontId="0" fillId="6" borderId="3" applyAlignment="1" pivotButton="0" quotePrefix="0" xfId="0">
      <alignment vertical="center"/>
    </xf>
    <xf numFmtId="0" fontId="0" fillId="6" borderId="0" applyAlignment="1" pivotButton="0" quotePrefix="0" xfId="0">
      <alignment vertical="center"/>
    </xf>
    <xf numFmtId="164" fontId="0" fillId="6" borderId="0" applyAlignment="1" pivotButton="0" quotePrefix="0" xfId="0">
      <alignment vertical="center"/>
    </xf>
    <xf numFmtId="164" fontId="0" fillId="6" borderId="3" applyAlignment="1" pivotButton="0" quotePrefix="0" xfId="0">
      <alignment vertical="center"/>
    </xf>
    <xf numFmtId="2" fontId="0" fillId="6" borderId="0" applyAlignment="1" pivotButton="0" quotePrefix="0" xfId="0">
      <alignment vertical="center"/>
    </xf>
    <xf numFmtId="2" fontId="0" fillId="6" borderId="3" applyAlignment="1" pivotButton="0" quotePrefix="0" xfId="0">
      <alignment vertical="center"/>
    </xf>
    <xf numFmtId="1" fontId="0" fillId="6" borderId="0" applyAlignment="1" pivotButton="0" quotePrefix="0" xfId="0">
      <alignment vertical="center"/>
    </xf>
    <xf numFmtId="0" fontId="0" fillId="6" borderId="4" applyAlignment="1" pivotButton="0" quotePrefix="0" xfId="0">
      <alignment vertical="center"/>
    </xf>
    <xf numFmtId="164" fontId="0" fillId="6" borderId="2" applyAlignment="1" pivotButton="0" quotePrefix="0" xfId="0">
      <alignment vertical="center"/>
    </xf>
    <xf numFmtId="2" fontId="0" fillId="6" borderId="2" applyAlignment="1" pivotButton="0" quotePrefix="0" xfId="0">
      <alignment vertical="center"/>
    </xf>
    <xf numFmtId="2" fontId="0" fillId="6" borderId="6" applyAlignment="1" pivotButton="0" quotePrefix="0" xfId="0">
      <alignment vertical="center"/>
    </xf>
    <xf numFmtId="0" fontId="0" fillId="6" borderId="6" applyAlignment="1" pivotButton="0" quotePrefix="0" xfId="0">
      <alignment vertical="center"/>
    </xf>
    <xf numFmtId="164" fontId="0" fillId="6" borderId="6" applyAlignment="1" pivotButton="0" quotePrefix="0" xfId="0">
      <alignment vertical="center"/>
    </xf>
    <xf numFmtId="0" fontId="0" fillId="6" borderId="2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/>
    </xf>
    <xf numFmtId="0" fontId="0" fillId="0" borderId="4" applyAlignment="1" pivotButton="0" quotePrefix="0" xfId="0">
      <alignment horizontal="center" vertical="center"/>
    </xf>
    <xf numFmtId="0" fontId="0" fillId="0" borderId="3" applyAlignment="1" pivotButton="0" quotePrefix="0" xfId="0">
      <alignment horizontal="center" vertical="center"/>
    </xf>
    <xf numFmtId="0" fontId="0" fillId="0" borderId="0" pivotButton="0" quotePrefix="0" xfId="0"/>
    <xf numFmtId="164" fontId="0" fillId="0" borderId="0" applyAlignment="1" pivotButton="0" quotePrefix="0" xfId="0">
      <alignment vertical="center"/>
    </xf>
    <xf numFmtId="0" fontId="0" fillId="0" borderId="8" applyAlignment="1" pivotButton="0" quotePrefix="0" xfId="0">
      <alignment horizontal="center" vertical="center"/>
    </xf>
    <xf numFmtId="0" fontId="0" fillId="0" borderId="3" pivotButton="0" quotePrefix="0" xfId="0"/>
    <xf numFmtId="164" fontId="0" fillId="6" borderId="0" applyAlignment="1" pivotButton="0" quotePrefix="0" xfId="0">
      <alignment vertical="center"/>
    </xf>
    <xf numFmtId="164" fontId="0" fillId="6" borderId="3" applyAlignment="1" pivotButton="0" quotePrefix="0" xfId="0">
      <alignment vertical="center"/>
    </xf>
    <xf numFmtId="164" fontId="0" fillId="6" borderId="2" applyAlignment="1" pivotButton="0" quotePrefix="0" xfId="0">
      <alignment vertical="center"/>
    </xf>
    <xf numFmtId="164" fontId="0" fillId="0" borderId="3" applyAlignment="1" pivotButton="0" quotePrefix="0" xfId="0">
      <alignment vertical="center"/>
    </xf>
    <xf numFmtId="164" fontId="0" fillId="4" borderId="0" applyAlignment="1" pivotButton="0" quotePrefix="0" xfId="0">
      <alignment vertical="center"/>
    </xf>
    <xf numFmtId="164" fontId="0" fillId="4" borderId="3" applyAlignment="1" pivotButton="0" quotePrefix="0" xfId="0">
      <alignment vertical="center"/>
    </xf>
    <xf numFmtId="164" fontId="0" fillId="0" borderId="1" applyAlignment="1" pivotButton="0" quotePrefix="0" xfId="0">
      <alignment vertical="center"/>
    </xf>
    <xf numFmtId="164" fontId="0" fillId="6" borderId="6" applyAlignment="1" pivotButton="0" quotePrefix="0" xfId="0">
      <alignment vertical="center"/>
    </xf>
    <xf numFmtId="164" fontId="0" fillId="0" borderId="5" applyAlignment="1" pivotButton="0" quotePrefix="0" xfId="0">
      <alignment vertical="center"/>
    </xf>
    <xf numFmtId="164" fontId="0" fillId="3" borderId="0" applyAlignment="1" pivotButton="0" quotePrefix="0" xfId="0">
      <alignment vertical="center"/>
    </xf>
    <xf numFmtId="164" fontId="0" fillId="5" borderId="0" applyAlignment="1" pivotButton="0" quotePrefix="0" xfId="0">
      <alignment vertical="center"/>
    </xf>
  </cellXfs>
  <cellStyles count="1">
    <cellStyle name="標準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2013 - 2022 テーマ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AX400"/>
  <sheetViews>
    <sheetView tabSelected="1" zoomScale="80" zoomScaleNormal="80" workbookViewId="0">
      <pane xSplit="3" ySplit="4" topLeftCell="D33" activePane="bottomRight" state="frozen"/>
      <selection pane="topRight" activeCell="D1" sqref="D1"/>
      <selection pane="bottomLeft" activeCell="A5" sqref="A5"/>
      <selection pane="bottomRight" activeCell="Z54" sqref="Z54"/>
    </sheetView>
  </sheetViews>
  <sheetFormatPr baseColWidth="8" defaultRowHeight="18"/>
  <cols>
    <col width="3.09765625" customWidth="1" style="47" min="1" max="1"/>
    <col width="1.796875" customWidth="1" style="47" min="2" max="2"/>
    <col width="9.296875" bestFit="1" customWidth="1" style="47" min="3" max="3"/>
    <col width="3.69921875" customWidth="1" style="47" min="4" max="4"/>
    <col width="11.09765625" customWidth="1" style="47" min="5" max="5"/>
    <col width="8.796875" customWidth="1" style="47" min="20" max="20"/>
    <col width="2.5" customWidth="1" style="47" min="27" max="27"/>
    <col width="11.09765625" customWidth="1" style="47" min="29" max="29"/>
  </cols>
  <sheetData>
    <row r="2">
      <c r="B2" s="0" t="inlineStr">
        <is>
          <t>●R7.歩留まり表</t>
        </is>
      </c>
      <c r="G2" s="3" t="inlineStr">
        <is>
          <t>式入ってる</t>
        </is>
      </c>
      <c r="H2" s="3" t="n"/>
      <c r="AC2" s="7" t="inlineStr">
        <is>
          <t>式入ってる</t>
        </is>
      </c>
      <c r="AD2" s="7" t="n"/>
      <c r="AQ2" s="0" t="inlineStr">
        <is>
          <t xml:space="preserve">上物→上限86.9　下限68.0　</t>
        </is>
      </c>
      <c r="AT2" s="48">
        <f>86.9/0.68</f>
        <v/>
      </c>
      <c r="AU2" s="0">
        <f>68/0.68</f>
        <v/>
      </c>
    </row>
    <row r="3">
      <c r="E3" s="44" t="inlineStr">
        <is>
          <t>出荷</t>
        </is>
      </c>
      <c r="H3" s="44" t="inlineStr">
        <is>
          <t>トラックスケール</t>
        </is>
      </c>
      <c r="N3" s="44" t="inlineStr">
        <is>
          <t>格付け(頭数）</t>
        </is>
      </c>
      <c r="T3" s="44" t="inlineStr">
        <is>
          <t>格付け（％）</t>
        </is>
      </c>
      <c r="X3" s="44" t="n"/>
      <c r="AC3" s="49" t="inlineStr">
        <is>
          <t>出荷</t>
        </is>
      </c>
      <c r="AE3" s="50" t="n"/>
      <c r="AF3" s="49" t="inlineStr">
        <is>
          <t>トラックスケール</t>
        </is>
      </c>
      <c r="AK3" s="50" t="n"/>
      <c r="AL3" s="45" t="inlineStr">
        <is>
          <t>格付け(頭数）</t>
        </is>
      </c>
      <c r="AQ3" s="14" t="n"/>
      <c r="AR3" s="44" t="inlineStr">
        <is>
          <t>格付け（％）</t>
        </is>
      </c>
      <c r="AV3" s="14" t="inlineStr">
        <is>
          <t>単価</t>
        </is>
      </c>
    </row>
    <row r="4" ht="18.6" customHeight="1" s="47" thickBot="1">
      <c r="B4" s="0" t="inlineStr">
        <is>
          <t>市場</t>
        </is>
      </c>
      <c r="C4" s="0" t="inlineStr">
        <is>
          <t>と畜日</t>
        </is>
      </c>
      <c r="D4" s="0" t="inlineStr">
        <is>
          <t>曜日</t>
        </is>
      </c>
      <c r="E4" s="0" t="inlineStr">
        <is>
          <t>総出荷頭数</t>
        </is>
      </c>
      <c r="F4" s="3" t="inlineStr">
        <is>
          <t>肉豚</t>
        </is>
      </c>
      <c r="G4" s="0" t="inlineStr">
        <is>
          <t>小貫</t>
        </is>
      </c>
      <c r="H4" s="0" t="inlineStr">
        <is>
          <t>積載重量</t>
        </is>
      </c>
      <c r="I4" s="0" t="inlineStr">
        <is>
          <t>風袋</t>
        </is>
      </c>
      <c r="J4" s="3" t="inlineStr">
        <is>
          <t>正味重量</t>
        </is>
      </c>
      <c r="K4" s="3" t="inlineStr">
        <is>
          <t>Ave.</t>
        </is>
      </c>
      <c r="L4" s="0" t="inlineStr">
        <is>
          <t>平均枝重</t>
        </is>
      </c>
      <c r="M4" s="0" t="inlineStr">
        <is>
          <t>歩留まり</t>
        </is>
      </c>
      <c r="N4" s="0" t="inlineStr">
        <is>
          <t>極</t>
        </is>
      </c>
      <c r="O4" s="0" t="inlineStr">
        <is>
          <t>上</t>
        </is>
      </c>
      <c r="P4" s="0" t="inlineStr">
        <is>
          <t>中</t>
        </is>
      </c>
      <c r="Q4" s="0" t="inlineStr">
        <is>
          <t>並</t>
        </is>
      </c>
      <c r="R4" s="0" t="inlineStr">
        <is>
          <t>外</t>
        </is>
      </c>
      <c r="S4" s="3" t="inlineStr">
        <is>
          <t>上物</t>
        </is>
      </c>
      <c r="T4" s="3" t="inlineStr">
        <is>
          <t>上物率</t>
        </is>
      </c>
      <c r="U4" s="3" t="inlineStr">
        <is>
          <t>中</t>
        </is>
      </c>
      <c r="V4" s="3" t="inlineStr">
        <is>
          <t>並</t>
        </is>
      </c>
      <c r="W4" s="3" t="inlineStr">
        <is>
          <t>外</t>
        </is>
      </c>
      <c r="X4" s="0" t="inlineStr">
        <is>
          <t>単価</t>
        </is>
      </c>
      <c r="Y4" s="3" t="inlineStr">
        <is>
          <t>D.G</t>
        </is>
      </c>
      <c r="Z4" s="3" t="inlineStr">
        <is>
          <t>平均出荷日齢</t>
        </is>
      </c>
      <c r="AB4" s="15" t="inlineStr">
        <is>
          <t>月</t>
        </is>
      </c>
      <c r="AC4" s="16" t="inlineStr">
        <is>
          <t>総出荷頭数</t>
        </is>
      </c>
      <c r="AD4" s="16" t="inlineStr">
        <is>
          <t>肉豚</t>
        </is>
      </c>
      <c r="AE4" s="17" t="inlineStr">
        <is>
          <t>小貫</t>
        </is>
      </c>
      <c r="AF4" s="16" t="inlineStr">
        <is>
          <t>積載重量</t>
        </is>
      </c>
      <c r="AG4" s="16" t="inlineStr">
        <is>
          <t>風袋</t>
        </is>
      </c>
      <c r="AH4" s="16" t="inlineStr">
        <is>
          <t>正味重量</t>
        </is>
      </c>
      <c r="AI4" s="16" t="inlineStr">
        <is>
          <t>Ave.</t>
        </is>
      </c>
      <c r="AJ4" s="16" t="inlineStr">
        <is>
          <t>平均枝重</t>
        </is>
      </c>
      <c r="AK4" s="17" t="inlineStr">
        <is>
          <t>歩留まり</t>
        </is>
      </c>
      <c r="AL4" s="16" t="inlineStr">
        <is>
          <t>極</t>
        </is>
      </c>
      <c r="AM4" s="16" t="inlineStr">
        <is>
          <t>上</t>
        </is>
      </c>
      <c r="AN4" s="16" t="inlineStr">
        <is>
          <t>中</t>
        </is>
      </c>
      <c r="AO4" s="16" t="inlineStr">
        <is>
          <t>並</t>
        </is>
      </c>
      <c r="AP4" s="17" t="inlineStr">
        <is>
          <t>外</t>
        </is>
      </c>
      <c r="AQ4" s="16" t="inlineStr">
        <is>
          <t>上物</t>
        </is>
      </c>
      <c r="AR4" s="16" t="inlineStr">
        <is>
          <t>上物率</t>
        </is>
      </c>
      <c r="AS4" s="16" t="inlineStr">
        <is>
          <t>中</t>
        </is>
      </c>
      <c r="AT4" s="16" t="inlineStr">
        <is>
          <t>並</t>
        </is>
      </c>
      <c r="AU4" s="17" t="inlineStr">
        <is>
          <t>外</t>
        </is>
      </c>
      <c r="AV4" s="16" t="inlineStr">
        <is>
          <t>Ave.</t>
        </is>
      </c>
      <c r="AW4" s="16" t="inlineStr">
        <is>
          <t>D.G</t>
        </is>
      </c>
      <c r="AX4" s="16" t="inlineStr">
        <is>
          <t>出荷日齢</t>
        </is>
      </c>
    </row>
    <row r="5">
      <c r="C5" s="1" t="n">
        <v>46113</v>
      </c>
      <c r="D5" s="1">
        <f>TEXT(C5,"aaa")</f>
        <v/>
      </c>
      <c r="E5" s="0" t="n">
        <v>31</v>
      </c>
      <c r="F5" s="0">
        <f>IF(E5=0,"",(E5-G5))</f>
        <v/>
      </c>
      <c r="H5" s="0" t="n">
        <v>17230</v>
      </c>
      <c r="I5" s="0" t="n">
        <v>13430</v>
      </c>
      <c r="J5" s="0">
        <f>IF(H5=0,"",(H5-I5))</f>
        <v/>
      </c>
      <c r="K5" s="48">
        <f>IF(E5=0,"",(J5/E5))</f>
        <v/>
      </c>
      <c r="L5" s="0" t="n">
        <v>83</v>
      </c>
      <c r="O5" s="0" t="n">
        <v>24</v>
      </c>
      <c r="P5" s="0" t="n">
        <v>2</v>
      </c>
      <c r="Q5" s="0" t="n">
        <v>4</v>
      </c>
      <c r="S5" s="0">
        <f>SUM(N5:O5)</f>
        <v/>
      </c>
      <c r="T5" s="48">
        <f>IF(S5=0,"",(S5/E5*100))</f>
        <v/>
      </c>
      <c r="U5" s="48">
        <f>P5/E5*100</f>
        <v/>
      </c>
      <c r="V5" s="48">
        <f>Q5/E5*100</f>
        <v/>
      </c>
      <c r="W5" s="48">
        <f>R5/E5*100</f>
        <v/>
      </c>
      <c r="X5" s="0" t="n">
        <v>662</v>
      </c>
      <c r="Y5" s="0" t="n">
        <v>867</v>
      </c>
      <c r="Z5" s="0" t="n">
        <v>180.6</v>
      </c>
      <c r="AB5" s="30" t="n">
        <v>4</v>
      </c>
      <c r="AC5" s="31">
        <f>SUM(E5:E34)</f>
        <v/>
      </c>
      <c r="AD5" s="31">
        <f>SUM(F5:F34)</f>
        <v/>
      </c>
      <c r="AE5" s="30">
        <f>SUM(G5:G34)</f>
        <v/>
      </c>
      <c r="AF5" s="31">
        <f>SUM(H5:H34)</f>
        <v/>
      </c>
      <c r="AG5" s="31">
        <f>SUM(I5:I34)</f>
        <v/>
      </c>
      <c r="AH5" s="31">
        <f>SUM(J5:J34)</f>
        <v/>
      </c>
      <c r="AI5" s="51">
        <f>AH5/AC5</f>
        <v/>
      </c>
      <c r="AJ5" s="51">
        <f>AVERAGEIF(L5:L34,"&lt;&gt;""")</f>
        <v/>
      </c>
      <c r="AK5" s="52">
        <f>AVERAGEIF(M5:M34,"&lt;&gt;""")</f>
        <v/>
      </c>
      <c r="AL5" s="31">
        <f>SUM(N5:N34)</f>
        <v/>
      </c>
      <c r="AM5" s="31">
        <f>SUM(O5:O34)</f>
        <v/>
      </c>
      <c r="AN5" s="31">
        <f>SUM(P5:P34)</f>
        <v/>
      </c>
      <c r="AO5" s="31">
        <f>SUM(Q5:Q34)</f>
        <v/>
      </c>
      <c r="AP5" s="30">
        <f>SUM(R5:R34)</f>
        <v/>
      </c>
      <c r="AQ5" s="31">
        <f>SUM(S5:S34)</f>
        <v/>
      </c>
      <c r="AR5" s="51">
        <f>AQ5/AC5*100</f>
        <v/>
      </c>
      <c r="AS5" s="34">
        <f>AN5/AC5*100</f>
        <v/>
      </c>
      <c r="AT5" s="34">
        <f>AO5/AC5*100</f>
        <v/>
      </c>
      <c r="AU5" s="35">
        <f>AP5/AC5*100</f>
        <v/>
      </c>
      <c r="AV5" s="36">
        <f>AVERAGEIF(X5:X34,"&lt;&gt;")</f>
        <v/>
      </c>
      <c r="AW5" s="36">
        <f>AVERAGEIF(Y5:Y34,"&lt;&gt;")</f>
        <v/>
      </c>
      <c r="AX5" s="53">
        <f>AVERAGEIF(Z5:Z34,"&lt;&gt;")</f>
        <v/>
      </c>
    </row>
    <row r="6">
      <c r="C6" s="1" t="n">
        <v>46114</v>
      </c>
      <c r="D6" s="1">
        <f>TEXT(C6,"aaa")</f>
        <v/>
      </c>
      <c r="E6" s="0" t="n">
        <v>100</v>
      </c>
      <c r="F6" s="0">
        <f>IF(E6=0,"",(E6-G6))</f>
        <v/>
      </c>
      <c r="H6" s="0" t="n">
        <v>25730</v>
      </c>
      <c r="I6" s="0" t="n">
        <v>13230</v>
      </c>
      <c r="J6" s="0">
        <f>IF(H6=0,"",(H6-I6))</f>
        <v/>
      </c>
      <c r="K6" s="0">
        <f>IF(E6=0,"",(J6/E6))</f>
        <v/>
      </c>
      <c r="L6" s="0" t="n">
        <v>84.5</v>
      </c>
      <c r="M6" s="0" t="n">
        <v>67.59999999999999</v>
      </c>
      <c r="O6" s="0" t="n">
        <v>65</v>
      </c>
      <c r="P6" s="0" t="n">
        <v>19</v>
      </c>
      <c r="Q6" s="0" t="n">
        <v>15</v>
      </c>
      <c r="R6" s="0" t="n">
        <v>1</v>
      </c>
      <c r="S6" s="0">
        <f>SUM(N6:O6)</f>
        <v/>
      </c>
      <c r="T6" s="48">
        <f>IF(S6=0,"",(S6/E6*100))</f>
        <v/>
      </c>
      <c r="U6" s="48">
        <f>P6/E6*100</f>
        <v/>
      </c>
      <c r="V6" s="48">
        <f>Q6/E6*100</f>
        <v/>
      </c>
      <c r="W6" s="48">
        <f>R6/E6*100</f>
        <v/>
      </c>
      <c r="X6" s="0" t="n">
        <v>665</v>
      </c>
      <c r="Y6" s="0" t="n">
        <v>986.74</v>
      </c>
      <c r="Z6" s="0" t="n">
        <v>170.58</v>
      </c>
      <c r="AB6" s="12" t="n">
        <v>5</v>
      </c>
      <c r="AC6" s="0">
        <f>SUM(E35:E65)</f>
        <v/>
      </c>
      <c r="AD6" s="0">
        <f>SUM(F35:F65)</f>
        <v/>
      </c>
      <c r="AE6" s="12">
        <f>SUM(G35:G65)</f>
        <v/>
      </c>
      <c r="AF6" s="0">
        <f>SUM(H35:H65)</f>
        <v/>
      </c>
      <c r="AG6" s="0">
        <f>SUM(I35:I65)</f>
        <v/>
      </c>
      <c r="AH6" s="0">
        <f>SUM(J35:J65)</f>
        <v/>
      </c>
      <c r="AI6" s="48">
        <f>AH6/AC6</f>
        <v/>
      </c>
      <c r="AJ6" s="48">
        <f>AVERAGEIF(L35:L65,"&lt;&gt;""")</f>
        <v/>
      </c>
      <c r="AK6" s="54">
        <f>AVERAGEIF(M35:M65,"&lt;&gt;""")</f>
        <v/>
      </c>
      <c r="AL6" s="0">
        <f>SUM(N35:N65)</f>
        <v/>
      </c>
      <c r="AM6" s="0">
        <f>SUM(O35:O65)</f>
        <v/>
      </c>
      <c r="AN6" s="0">
        <f>SUM(P35:P65)</f>
        <v/>
      </c>
      <c r="AO6" s="0">
        <f>SUM(Q35:Q65)</f>
        <v/>
      </c>
      <c r="AP6" s="12">
        <f>SUM(R35:R65)</f>
        <v/>
      </c>
      <c r="AQ6" s="0">
        <f>SUM(S35:S65)</f>
        <v/>
      </c>
      <c r="AR6" s="48">
        <f>AQ6/AC6*100</f>
        <v/>
      </c>
      <c r="AS6" s="6">
        <f>AN6/AC6*100</f>
        <v/>
      </c>
      <c r="AT6" s="6">
        <f>AO6/AC6*100</f>
        <v/>
      </c>
      <c r="AU6" s="13">
        <f>AP6/AC6*100</f>
        <v/>
      </c>
      <c r="AV6" s="5">
        <f>AVERAGEIF(X35:X65,"&lt;&gt;""")</f>
        <v/>
      </c>
      <c r="AW6" s="5">
        <f>AVERAGEIF(Y35:Y65,"&lt;&gt;""")</f>
        <v/>
      </c>
      <c r="AX6" s="48">
        <f>AVERAGEIF(Z35:Z65,"&lt;&gt;""")</f>
        <v/>
      </c>
    </row>
    <row r="7">
      <c r="C7" s="1" t="n">
        <v>46115</v>
      </c>
      <c r="D7" s="1">
        <f>TEXT(C7,"aaa")</f>
        <v/>
      </c>
      <c r="F7" s="0">
        <f>IF(E7=0,"",(E7-G7))</f>
        <v/>
      </c>
      <c r="J7" s="0">
        <f>IF(H7=0,"",(H7-I7))</f>
        <v/>
      </c>
      <c r="K7" s="0">
        <f>IF(E7=0,"",(J7/E7))</f>
        <v/>
      </c>
      <c r="T7" s="48" t="n"/>
      <c r="U7" s="48" t="n"/>
      <c r="V7" s="48" t="n"/>
      <c r="W7" s="48" t="n"/>
      <c r="AB7" s="30" t="n">
        <v>6</v>
      </c>
      <c r="AC7" s="31">
        <f>SUM(E66:E95)</f>
        <v/>
      </c>
      <c r="AD7" s="31">
        <f>SUM(F66:F95)</f>
        <v/>
      </c>
      <c r="AE7" s="30">
        <f>SUM(G66:G95)</f>
        <v/>
      </c>
      <c r="AF7" s="31">
        <f>SUM(H66:H95)</f>
        <v/>
      </c>
      <c r="AG7" s="31">
        <f>SUM(I66:I95)</f>
        <v/>
      </c>
      <c r="AH7" s="31">
        <f>SUM(J66:J95)</f>
        <v/>
      </c>
      <c r="AI7" s="51">
        <f>AH7/AC7</f>
        <v/>
      </c>
      <c r="AJ7" s="51">
        <f>AVERAGEIF(L66:L95,"&lt;&gt;""")</f>
        <v/>
      </c>
      <c r="AK7" s="52">
        <f>AVERAGEIF(M66:M95,"&lt;&gt;""")</f>
        <v/>
      </c>
      <c r="AL7" s="31">
        <f>SUM(N66:N95)</f>
        <v/>
      </c>
      <c r="AM7" s="31">
        <f>SUM(O66:O95)</f>
        <v/>
      </c>
      <c r="AN7" s="31">
        <f>SUM(P66:P95)</f>
        <v/>
      </c>
      <c r="AO7" s="31">
        <f>SUM(Q66:Q95)</f>
        <v/>
      </c>
      <c r="AP7" s="30">
        <f>SUM(R66:R95)</f>
        <v/>
      </c>
      <c r="AQ7" s="31">
        <f>SUM(AL7:AM7)</f>
        <v/>
      </c>
      <c r="AR7" s="51">
        <f>AQ7/AC7*100</f>
        <v/>
      </c>
      <c r="AS7" s="34">
        <f>AN7/AC7*100</f>
        <v/>
      </c>
      <c r="AT7" s="34">
        <f>AO7/AC7*100</f>
        <v/>
      </c>
      <c r="AU7" s="35">
        <f>AP7/AC7*100</f>
        <v/>
      </c>
      <c r="AV7" s="36">
        <f>AVERAGEIF(X66:X95,"&lt;&gt;""")</f>
        <v/>
      </c>
      <c r="AW7" s="36">
        <f>AVERAGEIF(Y66:Y95,"&lt;&gt;""")</f>
        <v/>
      </c>
      <c r="AX7" s="51">
        <f>AVERAGEIF(Z66:Z95,"&lt;&gt;""")</f>
        <v/>
      </c>
    </row>
    <row r="8">
      <c r="C8" s="1" t="n">
        <v>46116</v>
      </c>
      <c r="D8" s="1">
        <f>TEXT(C8,"aaa")</f>
        <v/>
      </c>
      <c r="E8" s="0" t="n">
        <v>90</v>
      </c>
      <c r="F8" s="0">
        <f>IF(E8=0,"",(E8-G8))</f>
        <v/>
      </c>
      <c r="H8" s="0" t="n">
        <v>24850</v>
      </c>
      <c r="I8" s="0" t="n">
        <v>13890</v>
      </c>
      <c r="J8" s="0">
        <f>IF(H8=0,"",(H8-I8))</f>
        <v/>
      </c>
      <c r="K8" s="48">
        <f>IF(E8=0,"",(J8/E8))</f>
        <v/>
      </c>
      <c r="L8" s="0" t="n">
        <v>81.2</v>
      </c>
      <c r="M8" s="0" t="n">
        <v>66.5</v>
      </c>
      <c r="N8" s="0" t="n">
        <v>3</v>
      </c>
      <c r="O8" s="0" t="n">
        <v>75</v>
      </c>
      <c r="P8" s="0" t="n">
        <v>6</v>
      </c>
      <c r="Q8" s="0" t="n">
        <v>5</v>
      </c>
      <c r="R8" s="0" t="n">
        <v>1</v>
      </c>
      <c r="S8" s="0">
        <f>SUM(N8:O8)</f>
        <v/>
      </c>
      <c r="T8" s="48">
        <f>IF(S8=0,"",(S8/E8*100))</f>
        <v/>
      </c>
      <c r="U8" s="48">
        <f>P8/E8*100</f>
        <v/>
      </c>
      <c r="V8" s="48">
        <f>Q8/E8*100</f>
        <v/>
      </c>
      <c r="W8" s="48">
        <f>R8/E8*100</f>
        <v/>
      </c>
      <c r="X8" s="0" t="n">
        <v>678</v>
      </c>
      <c r="Y8" s="0" t="n">
        <v>991.24</v>
      </c>
      <c r="Z8" s="0" t="n">
        <v>166.79</v>
      </c>
      <c r="AB8" s="12" t="n">
        <v>7</v>
      </c>
      <c r="AC8" s="0">
        <f>SUM(E96:E126)</f>
        <v/>
      </c>
      <c r="AD8" s="0">
        <f>SUM(F96:F126)</f>
        <v/>
      </c>
      <c r="AE8" s="12">
        <f>SUM(G96:G126)</f>
        <v/>
      </c>
      <c r="AF8" s="0">
        <f>SUM(H96:H126)</f>
        <v/>
      </c>
      <c r="AG8" s="0">
        <f>SUM(I96:I126)</f>
        <v/>
      </c>
      <c r="AH8" s="0">
        <f>SUM(J96:J126)</f>
        <v/>
      </c>
      <c r="AI8" s="48">
        <f>AH8/AC8</f>
        <v/>
      </c>
      <c r="AJ8" s="48">
        <f>AVERAGEIF(L96:L126,"&lt;&gt;""")</f>
        <v/>
      </c>
      <c r="AK8" s="54">
        <f>AVERAGEIF(M96:M126,"&lt;&gt;""")</f>
        <v/>
      </c>
      <c r="AL8" s="0">
        <f>SUM(N96:N126)</f>
        <v/>
      </c>
      <c r="AM8" s="0">
        <f>SUM(O96:O126)</f>
        <v/>
      </c>
      <c r="AN8" s="0">
        <f>SUM(P96:P126)</f>
        <v/>
      </c>
      <c r="AO8" s="0">
        <f>SUM(Q96:Q126)</f>
        <v/>
      </c>
      <c r="AP8" s="12">
        <f>SUM(R96:R126)</f>
        <v/>
      </c>
      <c r="AQ8" s="0">
        <f>SUM(AL8:AM8)</f>
        <v/>
      </c>
      <c r="AR8" s="48">
        <f>AQ8/AC8*100</f>
        <v/>
      </c>
      <c r="AS8" s="6">
        <f>AN8/AC8*100</f>
        <v/>
      </c>
      <c r="AT8" s="6">
        <f>AO8/AC8*100</f>
        <v/>
      </c>
      <c r="AU8" s="13">
        <f>AP8/AC8*100</f>
        <v/>
      </c>
      <c r="AV8" s="5">
        <f>AVERAGEIF(X96:X126,"&lt;&gt;""")</f>
        <v/>
      </c>
      <c r="AW8" s="5">
        <f>AVERAGEIF(Y96:Y126,"&lt;&gt;""")</f>
        <v/>
      </c>
      <c r="AX8" s="48">
        <f>AVERAGEIF(Z96:Z126,"&lt;&gt;""")</f>
        <v/>
      </c>
    </row>
    <row r="9">
      <c r="C9" s="1" t="n">
        <v>46117</v>
      </c>
      <c r="D9" s="1">
        <f>TEXT(C9,"aaa")</f>
        <v/>
      </c>
      <c r="F9" s="0">
        <f>IF(E9=0,"",(E9-G9))</f>
        <v/>
      </c>
      <c r="J9" s="0">
        <f>IF(H9=0,"",(H9-I9))</f>
        <v/>
      </c>
      <c r="K9" s="0">
        <f>IF(E9=0,"",(J9/E9))</f>
        <v/>
      </c>
      <c r="T9" s="48" t="n"/>
      <c r="U9" s="48" t="n"/>
      <c r="V9" s="48" t="n"/>
      <c r="W9" s="48" t="n"/>
      <c r="AB9" s="30" t="n">
        <v>8</v>
      </c>
      <c r="AC9" s="31">
        <f>SUM(E127:E157)</f>
        <v/>
      </c>
      <c r="AD9" s="31">
        <f>SUM(F127:F157)</f>
        <v/>
      </c>
      <c r="AE9" s="30">
        <f>SUM(G127:G157)</f>
        <v/>
      </c>
      <c r="AF9" s="31">
        <f>SUM(H127:H157)</f>
        <v/>
      </c>
      <c r="AG9" s="31">
        <f>SUM(I127:I157)</f>
        <v/>
      </c>
      <c r="AH9" s="31">
        <f>SUM(J127:J157)</f>
        <v/>
      </c>
      <c r="AI9" s="51">
        <f>AH9/AC9</f>
        <v/>
      </c>
      <c r="AJ9" s="51">
        <f>AVERAGEIF(L127:L157,"&lt;&gt;""")</f>
        <v/>
      </c>
      <c r="AK9" s="51">
        <f>AVERAGEIF(M127:M157,"&lt;&gt;""")</f>
        <v/>
      </c>
      <c r="AL9" s="37">
        <f>SUM(N127:N157)</f>
        <v/>
      </c>
      <c r="AM9" s="31">
        <f>SUM(O127:O157)</f>
        <v/>
      </c>
      <c r="AN9" s="31">
        <f>SUM(P127:P157)</f>
        <v/>
      </c>
      <c r="AO9" s="31">
        <f>SUM(Q127:Q157)</f>
        <v/>
      </c>
      <c r="AP9" s="31">
        <f>SUM(R127:R157)</f>
        <v/>
      </c>
      <c r="AQ9" s="37">
        <f>SUM(AL9:AM9)</f>
        <v/>
      </c>
      <c r="AR9" s="51">
        <f>AQ9/AC9*100</f>
        <v/>
      </c>
      <c r="AS9" s="34">
        <f>AN9/AC9*100</f>
        <v/>
      </c>
      <c r="AT9" s="34">
        <f>AO9/AC9*100</f>
        <v/>
      </c>
      <c r="AU9" s="35">
        <f>AP9/AC9*100</f>
        <v/>
      </c>
      <c r="AV9" s="36">
        <f>AVERAGEIF(X127:X157,"&lt;&gt;""")</f>
        <v/>
      </c>
      <c r="AW9" s="36">
        <f>AVERAGEIF(Y127:Y157,"&lt;&gt;""")</f>
        <v/>
      </c>
      <c r="AX9" s="51">
        <f>AVERAGEIF(Z127:Z157,"&lt;&gt;""")</f>
        <v/>
      </c>
    </row>
    <row r="10">
      <c r="C10" s="1" t="n">
        <v>46118</v>
      </c>
      <c r="D10" s="1">
        <f>TEXT(C10,"aaa")</f>
        <v/>
      </c>
      <c r="E10" s="0" t="n">
        <v>80</v>
      </c>
      <c r="F10" s="0">
        <f>IF(E10=0,"",(E10-G10))</f>
        <v/>
      </c>
      <c r="G10" s="0" t="n">
        <v>3</v>
      </c>
      <c r="H10" s="0" t="n">
        <v>22820</v>
      </c>
      <c r="I10" s="0" t="n">
        <v>13520</v>
      </c>
      <c r="J10" s="0">
        <f>IF(H10=0,"",(H10-I10))</f>
        <v/>
      </c>
      <c r="K10" s="48">
        <f>IF(E10=0,"",(J10/E10))</f>
        <v/>
      </c>
      <c r="L10" s="0" t="n">
        <v>76.90000000000001</v>
      </c>
      <c r="O10" s="0" t="n">
        <v>63</v>
      </c>
      <c r="P10" s="0" t="n">
        <v>4</v>
      </c>
      <c r="Q10" s="0" t="n">
        <v>9</v>
      </c>
      <c r="R10" s="0" t="n">
        <v>3</v>
      </c>
      <c r="S10" s="0">
        <f>SUM(N10:O10)</f>
        <v/>
      </c>
      <c r="T10" s="48">
        <f>IF(S10=0,"",(S10/E10*100))</f>
        <v/>
      </c>
      <c r="U10" s="48">
        <f>P10/E10*100</f>
        <v/>
      </c>
      <c r="V10" s="48">
        <f>Q10/E10*100</f>
        <v/>
      </c>
      <c r="W10" s="48">
        <f>R10/E10*100</f>
        <v/>
      </c>
      <c r="X10" s="0" t="n">
        <v>677</v>
      </c>
      <c r="Y10" s="0" t="n">
        <v>718.75</v>
      </c>
      <c r="Z10" s="0" t="n">
        <v>193.2</v>
      </c>
      <c r="AB10" s="12" t="n">
        <v>9</v>
      </c>
      <c r="AC10" s="0">
        <f>SUM(E158:E187)</f>
        <v/>
      </c>
      <c r="AD10" s="0">
        <f>SUM(F158:F187)</f>
        <v/>
      </c>
      <c r="AE10" s="0">
        <f>SUM(G158:G187)</f>
        <v/>
      </c>
      <c r="AF10" s="14">
        <f>SUM(H158:H187)</f>
        <v/>
      </c>
      <c r="AG10" s="0">
        <f>SUM(I158:I187)</f>
        <v/>
      </c>
      <c r="AH10" s="0">
        <f>SUM(J158:J187)</f>
        <v/>
      </c>
      <c r="AI10" s="48">
        <f>AH10/AC10</f>
        <v/>
      </c>
      <c r="AJ10" s="48">
        <f>AVERAGEIF(L158:L187,"&lt;&gt;""")</f>
        <v/>
      </c>
      <c r="AK10" s="48">
        <f>AVERAGEIF(M158:M187,"&lt;&gt;""")</f>
        <v/>
      </c>
      <c r="AL10" s="14">
        <f>SUM(N158:N187)</f>
        <v/>
      </c>
      <c r="AM10" s="0">
        <f>SUM(O158:O187)</f>
        <v/>
      </c>
      <c r="AN10" s="0">
        <f>SUM(P158:P187)</f>
        <v/>
      </c>
      <c r="AO10" s="0">
        <f>SUM(Q158:Q187)</f>
        <v/>
      </c>
      <c r="AP10" s="0">
        <f>SUM(R158:R187)</f>
        <v/>
      </c>
      <c r="AQ10" s="14">
        <f>SUM(AL10:AM10)</f>
        <v/>
      </c>
      <c r="AR10" s="48">
        <f>AQ10/AC10*100</f>
        <v/>
      </c>
      <c r="AS10" s="6">
        <f>AN10/AC10*100</f>
        <v/>
      </c>
      <c r="AT10" s="6">
        <f>AO10/AC10*100</f>
        <v/>
      </c>
      <c r="AU10" s="13">
        <f>AP10/AC10*100</f>
        <v/>
      </c>
      <c r="AV10" s="5">
        <f>AVERAGEIF(X158:X187,"&lt;&gt;""")</f>
        <v/>
      </c>
      <c r="AW10" s="5">
        <f>AVERAGEIF(Y158:Y187,"&lt;&gt;""")</f>
        <v/>
      </c>
      <c r="AX10" s="48">
        <f>AVERAGEIF(Z158:Z187,"&lt;&gt;""")</f>
        <v/>
      </c>
    </row>
    <row r="11">
      <c r="C11" s="1" t="n">
        <v>46119</v>
      </c>
      <c r="D11" s="1" t="n"/>
      <c r="E11" s="0" t="n">
        <v>80</v>
      </c>
      <c r="F11" s="0">
        <f>IF(E11=0,"",(E11-G11))</f>
        <v/>
      </c>
      <c r="H11" s="0" t="n">
        <v>23340</v>
      </c>
      <c r="I11" s="0" t="n">
        <v>13400</v>
      </c>
      <c r="J11" s="0">
        <f>IF(H11=0,"",(H11-I11))</f>
        <v/>
      </c>
      <c r="K11" s="48">
        <f>IF(E11=0,"",(J11/E11))</f>
        <v/>
      </c>
      <c r="L11" s="0" t="n">
        <v>83.90000000000001</v>
      </c>
      <c r="M11" s="0" t="n">
        <v>67.5</v>
      </c>
      <c r="O11" s="0" t="n">
        <v>56</v>
      </c>
      <c r="P11" s="0" t="n">
        <v>11</v>
      </c>
      <c r="Q11" s="0" t="n">
        <v>12</v>
      </c>
      <c r="R11" s="0" t="n">
        <v>1</v>
      </c>
      <c r="S11" s="0">
        <f>SUM(N11:O11)</f>
        <v/>
      </c>
      <c r="T11" s="48">
        <f>IF(S11=0,"",(S11/E11*100))</f>
        <v/>
      </c>
      <c r="U11" s="48">
        <f>P11/E11*100</f>
        <v/>
      </c>
      <c r="V11" s="48">
        <f>Q11/E11*100</f>
        <v/>
      </c>
      <c r="W11" s="48">
        <f>R11/E11*100</f>
        <v/>
      </c>
      <c r="X11" s="0" t="n">
        <v>669</v>
      </c>
      <c r="Y11" s="0" t="n">
        <v>880.61</v>
      </c>
      <c r="Z11" s="0" t="n">
        <v>178.1</v>
      </c>
      <c r="AB11" s="30" t="n">
        <v>10</v>
      </c>
      <c r="AC11" s="31">
        <f>SUM(E189:E218)</f>
        <v/>
      </c>
      <c r="AD11" s="31">
        <f>SUM(F189:F218)</f>
        <v/>
      </c>
      <c r="AE11" s="30">
        <f>SUM(G189:G218)</f>
        <v/>
      </c>
      <c r="AF11" s="31">
        <f>SUM(H189:H218)</f>
        <v/>
      </c>
      <c r="AG11" s="31">
        <f>SUM(I189:I218)</f>
        <v/>
      </c>
      <c r="AH11" s="31">
        <f>SUM(J189:J218)</f>
        <v/>
      </c>
      <c r="AI11" s="51">
        <f>AH11/AC11</f>
        <v/>
      </c>
      <c r="AJ11" s="51">
        <f>AVERAGEIF(L189:L218,"&lt;&gt;""")</f>
        <v/>
      </c>
      <c r="AK11" s="52">
        <f>AVERAGEIF(M189:M218,"&lt;&gt;""")</f>
        <v/>
      </c>
      <c r="AL11" s="31">
        <f>SUM(N189:N218)</f>
        <v/>
      </c>
      <c r="AM11" s="31">
        <f>SUM(O189:O218)</f>
        <v/>
      </c>
      <c r="AN11" s="31">
        <f>SUM(P189:P218)</f>
        <v/>
      </c>
      <c r="AO11" s="31">
        <f>SUM(Q189:Q218)</f>
        <v/>
      </c>
      <c r="AP11" s="31">
        <f>SUM(R189:R218)</f>
        <v/>
      </c>
      <c r="AQ11" s="37">
        <f>SUM(AL11:AM11)</f>
        <v/>
      </c>
      <c r="AR11" s="51">
        <f>AQ11/AC11*100</f>
        <v/>
      </c>
      <c r="AS11" s="34">
        <f>AN11/AC11*100</f>
        <v/>
      </c>
      <c r="AT11" s="34">
        <f>AO11/AC11*100</f>
        <v/>
      </c>
      <c r="AU11" s="35">
        <f>AP11/AC11*100</f>
        <v/>
      </c>
      <c r="AV11" s="36">
        <f>AVERAGEIF(X189:X218,"&lt;&gt;""")</f>
        <v/>
      </c>
      <c r="AW11" s="36">
        <f>AVERAGEIF(Y189:Y218,"&lt;&gt;""")</f>
        <v/>
      </c>
      <c r="AX11" s="51">
        <f>AVERAGEIF(Z189:Z218,"&lt;&gt;""")</f>
        <v/>
      </c>
    </row>
    <row r="12">
      <c r="A12" s="3" t="n"/>
      <c r="C12" s="1" t="n">
        <v>46119</v>
      </c>
      <c r="D12" s="1">
        <f>TEXT(C12,"aaa")</f>
        <v/>
      </c>
      <c r="E12" s="0" t="n">
        <v>100</v>
      </c>
      <c r="F12" s="0">
        <f>IF(E12=0,"",(E12-G12))</f>
        <v/>
      </c>
      <c r="H12" s="0" t="n">
        <v>25530</v>
      </c>
      <c r="I12" s="0" t="n">
        <v>13320</v>
      </c>
      <c r="J12" s="0">
        <f>IF(H12=0,"",(H12-I12))</f>
        <v/>
      </c>
      <c r="K12" s="0">
        <f>IF(E12=0,"",(J12/E12))</f>
        <v/>
      </c>
      <c r="L12" s="0" t="n">
        <v>81.40000000000001</v>
      </c>
      <c r="M12" s="0" t="n">
        <v>66.7</v>
      </c>
      <c r="O12" s="0" t="n">
        <v>77</v>
      </c>
      <c r="P12" s="0" t="n">
        <v>8</v>
      </c>
      <c r="Q12" s="0" t="n">
        <v>15</v>
      </c>
      <c r="S12" s="0">
        <f>SUM(N12:O12)</f>
        <v/>
      </c>
      <c r="T12" s="48">
        <f>IF(S12=0,"",(S12/E12*100))</f>
        <v/>
      </c>
      <c r="U12" s="48">
        <f>P12/E12*100</f>
        <v/>
      </c>
      <c r="V12" s="48">
        <f>Q12/E12*100</f>
        <v/>
      </c>
      <c r="W12" s="48">
        <f>R12/E12*100</f>
        <v/>
      </c>
      <c r="X12" s="0" t="n">
        <v>673</v>
      </c>
      <c r="Y12" s="0" t="n">
        <v>909.15</v>
      </c>
      <c r="Z12" s="0" t="n">
        <v>176.07</v>
      </c>
      <c r="AB12" s="12" t="n">
        <v>11</v>
      </c>
      <c r="AC12" s="0">
        <f>SUM(E219:E248)</f>
        <v/>
      </c>
      <c r="AD12" s="0">
        <f>SUM(F219:F248)</f>
        <v/>
      </c>
      <c r="AE12" s="12">
        <f>SUM(G219:G248)</f>
        <v/>
      </c>
      <c r="AF12" s="0">
        <f>SUM(H219:H248)</f>
        <v/>
      </c>
      <c r="AG12" s="0">
        <f>SUM(I219:I248)</f>
        <v/>
      </c>
      <c r="AH12" s="19">
        <f>SUM(J219:J248)</f>
        <v/>
      </c>
      <c r="AI12" s="55">
        <f>AH12/AC12</f>
        <v/>
      </c>
      <c r="AJ12" s="55">
        <f>AVERAGE(L219:L248)</f>
        <v/>
      </c>
      <c r="AK12" s="56">
        <f>AVERAGE(M219:M248)</f>
        <v/>
      </c>
      <c r="AL12" s="19">
        <f>SUM(N219:N248)</f>
        <v/>
      </c>
      <c r="AM12" s="19">
        <f>SUM(O219:O248)</f>
        <v/>
      </c>
      <c r="AN12" s="19">
        <f>SUM(P219:P248)</f>
        <v/>
      </c>
      <c r="AO12" s="19">
        <f>SUM(Q219:Q248)</f>
        <v/>
      </c>
      <c r="AP12" s="19">
        <f>SUM(R219:R248)</f>
        <v/>
      </c>
      <c r="AQ12" s="21">
        <f>SUM(AL12:AM12)</f>
        <v/>
      </c>
      <c r="AR12" s="55">
        <f>AQ12/AC12*100</f>
        <v/>
      </c>
      <c r="AS12" s="22">
        <f>AN12/AC12*100</f>
        <v/>
      </c>
      <c r="AT12" s="22">
        <f>AO12/AC12*100</f>
        <v/>
      </c>
      <c r="AU12" s="23">
        <f>AP12/AC12*100</f>
        <v/>
      </c>
      <c r="AV12" s="5">
        <f>AVERAGE(X219:X248)</f>
        <v/>
      </c>
      <c r="AW12" s="5">
        <f>AVERAGE(Y219:Y248)</f>
        <v/>
      </c>
      <c r="AX12" s="48">
        <f>AVERAGE(Z219:Z248)</f>
        <v/>
      </c>
    </row>
    <row r="13">
      <c r="A13" s="3" t="n"/>
      <c r="C13" s="1" t="n">
        <v>46120</v>
      </c>
      <c r="D13" s="1">
        <f>TEXT(C13,"aaa")</f>
        <v/>
      </c>
      <c r="F13" s="0">
        <f>IF(E13=0,"",(E13-G13))</f>
        <v/>
      </c>
      <c r="J13" s="0">
        <f>IF(H13=0,"",(H13-I13))</f>
        <v/>
      </c>
      <c r="K13" s="0">
        <f>IF(E13=0,"",(J13/E13))</f>
        <v/>
      </c>
      <c r="T13" s="48" t="n"/>
      <c r="U13" s="48" t="n"/>
      <c r="V13" s="48" t="n"/>
      <c r="W13" s="48" t="n"/>
      <c r="AB13" s="30" t="n">
        <v>12</v>
      </c>
      <c r="AC13" s="31">
        <f>SUM(E249:E279)</f>
        <v/>
      </c>
      <c r="AD13" s="31">
        <f>SUM(F249:F279)</f>
        <v/>
      </c>
      <c r="AE13" s="31">
        <f>SUM(G249:G279)</f>
        <v/>
      </c>
      <c r="AF13" s="37">
        <f>SUM(H249:H279)</f>
        <v/>
      </c>
      <c r="AG13" s="31">
        <f>SUM(I249:I279)</f>
        <v/>
      </c>
      <c r="AH13" s="31">
        <f>SUM(J249:J279)</f>
        <v/>
      </c>
      <c r="AI13" s="51">
        <f>AH13/AC13</f>
        <v/>
      </c>
      <c r="AJ13" s="51">
        <f>AVERAGE(L220:L249)</f>
        <v/>
      </c>
      <c r="AK13" s="52">
        <f>AVERAGE(M220:M249)</f>
        <v/>
      </c>
      <c r="AL13" s="31">
        <f>SUM(N249:N279)</f>
        <v/>
      </c>
      <c r="AM13" s="31">
        <f>SUM(O249:O279)</f>
        <v/>
      </c>
      <c r="AN13" s="31">
        <f>SUM(P249:P279)</f>
        <v/>
      </c>
      <c r="AO13" s="31">
        <f>SUM(Q249:Q279)</f>
        <v/>
      </c>
      <c r="AP13" s="30">
        <f>SUM(R249:R279)</f>
        <v/>
      </c>
      <c r="AQ13" s="31">
        <f>SUM(S249:S279)</f>
        <v/>
      </c>
      <c r="AR13" s="51">
        <f>AQ13/AC13*100</f>
        <v/>
      </c>
      <c r="AS13" s="34">
        <f>AN13/AC13*100</f>
        <v/>
      </c>
      <c r="AT13" s="34">
        <f>AO13/AC13*100</f>
        <v/>
      </c>
      <c r="AU13" s="35">
        <f>AP13/AC13*100</f>
        <v/>
      </c>
      <c r="AV13" s="36">
        <f>AVERAGE(X220:X249)</f>
        <v/>
      </c>
      <c r="AW13" s="36">
        <f>AVERAGE(Y220:Y249)</f>
        <v/>
      </c>
      <c r="AX13" s="51">
        <f>AVERAGE(Z220:Z249)</f>
        <v/>
      </c>
    </row>
    <row r="14">
      <c r="C14" s="1" t="n">
        <v>46122</v>
      </c>
      <c r="D14" s="1">
        <f>TEXT(C14,"aaa")</f>
        <v/>
      </c>
      <c r="F14" s="0">
        <f>IF(E14=0,"",(E14-G14))</f>
        <v/>
      </c>
      <c r="J14" s="0">
        <f>IF(H14=0,"",(H14-I14))</f>
        <v/>
      </c>
      <c r="K14" s="0">
        <f>IF(E14=0,"",(J14/E14))</f>
        <v/>
      </c>
      <c r="T14" s="48" t="n"/>
      <c r="U14" s="48" t="n"/>
      <c r="V14" s="48" t="n"/>
      <c r="W14" s="48" t="n"/>
      <c r="AB14" s="12" t="n">
        <v>1</v>
      </c>
      <c r="AC14" s="0">
        <f>SUM(E280:E310)</f>
        <v/>
      </c>
      <c r="AD14" s="0">
        <f>SUM(F280:F310)</f>
        <v/>
      </c>
      <c r="AE14" s="12">
        <f>SUM(G280:G310)</f>
        <v/>
      </c>
      <c r="AF14" s="0">
        <f>SUM(H280:H310)</f>
        <v/>
      </c>
      <c r="AG14" s="0">
        <f>SUM(I280:I310)</f>
        <v/>
      </c>
      <c r="AH14" s="0">
        <f>SUM(J280:J310)</f>
        <v/>
      </c>
      <c r="AI14" s="48">
        <f>AH14/AC14</f>
        <v/>
      </c>
      <c r="AJ14" s="48">
        <f>AVERAGE(L221:L250)</f>
        <v/>
      </c>
      <c r="AK14" s="54">
        <f>AVERAGE(M221:M250)</f>
        <v/>
      </c>
      <c r="AL14" s="0">
        <f>SUM(N280:N310)</f>
        <v/>
      </c>
      <c r="AM14" s="0">
        <f>SUM(O280:O310)</f>
        <v/>
      </c>
      <c r="AN14" s="0">
        <f>SUM(P280:P310)</f>
        <v/>
      </c>
      <c r="AO14" s="0">
        <f>SUM(Q280:Q310)</f>
        <v/>
      </c>
      <c r="AP14" s="0">
        <f>SUM(R280:R310)</f>
        <v/>
      </c>
      <c r="AQ14" s="14">
        <f>SUM(S280:S310)</f>
        <v/>
      </c>
      <c r="AR14" s="48">
        <f>AQ14/AC14*100</f>
        <v/>
      </c>
      <c r="AS14" s="6">
        <f>AN14/AC14*100</f>
        <v/>
      </c>
      <c r="AT14" s="6">
        <f>AO14/AC14*100</f>
        <v/>
      </c>
      <c r="AU14" s="13">
        <f>AP14/AC14*100</f>
        <v/>
      </c>
      <c r="AV14" s="5">
        <f>AVERAGE(X221:X250)</f>
        <v/>
      </c>
      <c r="AW14" s="5">
        <f>AVERAGE(Y221:Y250)</f>
        <v/>
      </c>
      <c r="AX14" s="48">
        <f>AVERAGE(Z221:Z250)</f>
        <v/>
      </c>
    </row>
    <row r="15">
      <c r="C15" s="1" t="n">
        <v>46123</v>
      </c>
      <c r="D15" s="1">
        <f>TEXT(C15,"aaa")</f>
        <v/>
      </c>
      <c r="E15" s="0" t="n">
        <v>100</v>
      </c>
      <c r="F15" s="0">
        <f>IF(E15=0,"",(E15-G15))</f>
        <v/>
      </c>
      <c r="G15" s="0" t="n">
        <v>2</v>
      </c>
      <c r="H15" s="0" t="n">
        <v>25750</v>
      </c>
      <c r="I15" s="0" t="n">
        <v>13350</v>
      </c>
      <c r="J15" s="0">
        <f>IF(H15=0,"",(H15-I15))</f>
        <v/>
      </c>
      <c r="K15" s="0">
        <f>IF(E15=0,"",(J15/E15))</f>
        <v/>
      </c>
      <c r="L15" s="0" t="n">
        <v>82.3</v>
      </c>
      <c r="M15" s="0" t="n">
        <v>66.40000000000001</v>
      </c>
      <c r="N15" s="0" t="n">
        <v>1</v>
      </c>
      <c r="O15" s="0" t="n">
        <v>70</v>
      </c>
      <c r="P15" s="0" t="n">
        <v>8</v>
      </c>
      <c r="Q15" s="0" t="n">
        <v>13</v>
      </c>
      <c r="R15" s="0" t="n">
        <v>8</v>
      </c>
      <c r="S15" s="0">
        <f>SUM(N15:O15)</f>
        <v/>
      </c>
      <c r="T15" s="48">
        <f>IF(S15=0,"",(S15/E15*100))</f>
        <v/>
      </c>
      <c r="U15" s="48">
        <f>P15/E15*100</f>
        <v/>
      </c>
      <c r="V15" s="48">
        <f>Q15/E15*100</f>
        <v/>
      </c>
      <c r="W15" s="48">
        <f>R15/E15*100</f>
        <v/>
      </c>
      <c r="X15" s="0" t="n">
        <v>659</v>
      </c>
      <c r="Y15" s="0" t="n">
        <v>848.51</v>
      </c>
      <c r="Z15" s="0" t="n">
        <v>182.09</v>
      </c>
      <c r="AB15" s="30" t="n">
        <v>2</v>
      </c>
      <c r="AC15" s="31">
        <f>SUM(E311:E338)</f>
        <v/>
      </c>
      <c r="AD15" s="31">
        <f>SUM(F311:F338)</f>
        <v/>
      </c>
      <c r="AE15" s="31">
        <f>SUM(G311:G338)</f>
        <v/>
      </c>
      <c r="AF15" s="37">
        <f>SUM(H311:H338)</f>
        <v/>
      </c>
      <c r="AG15" s="31">
        <f>SUM(I311:I338)</f>
        <v/>
      </c>
      <c r="AH15" s="31">
        <f>SUM(J311:J338)</f>
        <v/>
      </c>
      <c r="AI15" s="51">
        <f>AH15/AC15</f>
        <v/>
      </c>
      <c r="AJ15" s="51">
        <f>AVERAGE(L311:L338)</f>
        <v/>
      </c>
      <c r="AK15" s="51">
        <f>AVERAGE(M311:M338)</f>
        <v/>
      </c>
      <c r="AL15" s="37">
        <f>SUM(N311:N338)</f>
        <v/>
      </c>
      <c r="AM15" s="31">
        <f>SUM(O311:O338)</f>
        <v/>
      </c>
      <c r="AN15" s="31">
        <f>SUM(P311:P338)</f>
        <v/>
      </c>
      <c r="AO15" s="31">
        <f>SUM(Q311:Q338)</f>
        <v/>
      </c>
      <c r="AP15" s="31">
        <f>SUM(R311:R338)</f>
        <v/>
      </c>
      <c r="AQ15" s="37">
        <f>SUM(S311:S338)</f>
        <v/>
      </c>
      <c r="AR15" s="51">
        <f>AQ15/AC15*100</f>
        <v/>
      </c>
      <c r="AS15" s="34">
        <f>AN15/AC15*100</f>
        <v/>
      </c>
      <c r="AT15" s="34">
        <f>AO15/AC15*100</f>
        <v/>
      </c>
      <c r="AU15" s="35">
        <f>AP15/AC15*100</f>
        <v/>
      </c>
      <c r="AV15" s="36">
        <f>AVERAGE(X311:X338)</f>
        <v/>
      </c>
      <c r="AW15" s="36">
        <f>AVERAGE(Y311:Y338)</f>
        <v/>
      </c>
      <c r="AX15" s="51">
        <f>AVERAGE(Z311:Z338)</f>
        <v/>
      </c>
    </row>
    <row r="16" ht="18.6" customHeight="1" s="47" thickBot="1">
      <c r="C16" s="1" t="n">
        <v>46124</v>
      </c>
      <c r="D16" s="1">
        <f>TEXT(C16,"aaa")</f>
        <v/>
      </c>
      <c r="F16" s="0">
        <f>IF(E16=0,"",(E16-G16))</f>
        <v/>
      </c>
      <c r="J16" s="0">
        <f>IF(H16=0,"",(H16-I16))</f>
        <v/>
      </c>
      <c r="K16" s="0">
        <f>IF(E16=0,"",(J16/E16))</f>
        <v/>
      </c>
      <c r="T16" s="48" t="n"/>
      <c r="U16" s="48" t="n"/>
      <c r="V16" s="48" t="n"/>
      <c r="W16" s="48" t="n"/>
      <c r="AB16" s="15" t="n">
        <v>3</v>
      </c>
      <c r="AC16" s="8">
        <f>SUM(E339:E369)</f>
        <v/>
      </c>
      <c r="AD16" s="8">
        <f>SUM(F339:F369)</f>
        <v/>
      </c>
      <c r="AE16" s="8">
        <f>SUM(G339:G369)</f>
        <v/>
      </c>
      <c r="AF16" s="27">
        <f>SUM(H339:H369)</f>
        <v/>
      </c>
      <c r="AG16" s="8">
        <f>SUM(I339:I369)</f>
        <v/>
      </c>
      <c r="AH16" s="8">
        <f>SUM(J339:J369)</f>
        <v/>
      </c>
      <c r="AI16" s="57">
        <f>AH16/AC16</f>
        <v/>
      </c>
      <c r="AJ16" s="57">
        <f>AVERAGE(L339:L369)</f>
        <v/>
      </c>
      <c r="AK16" s="57">
        <f>AVERAGE(M339:M369)</f>
        <v/>
      </c>
      <c r="AL16" s="27">
        <f>SUM(N339:N369)</f>
        <v/>
      </c>
      <c r="AM16" s="8">
        <f>SUM(O339:O369)</f>
        <v/>
      </c>
      <c r="AN16" s="8">
        <f>SUM(P339:P369)</f>
        <v/>
      </c>
      <c r="AO16" s="8">
        <f>SUM(Q339:Q369)</f>
        <v/>
      </c>
      <c r="AP16" s="8">
        <f>SUM(R339:R369)</f>
        <v/>
      </c>
      <c r="AQ16" s="27">
        <f>SUM(S339:S369)</f>
        <v/>
      </c>
      <c r="AR16" s="48">
        <f>AQ16/AC16*100</f>
        <v/>
      </c>
      <c r="AS16" s="6">
        <f>AN16/AC16*100</f>
        <v/>
      </c>
      <c r="AT16" s="6">
        <f>AO16/AC16*100</f>
        <v/>
      </c>
      <c r="AU16" s="13">
        <f>AP16/AC16*100</f>
        <v/>
      </c>
      <c r="AV16" s="29">
        <f>AVERAGE(X339:X369)</f>
        <v/>
      </c>
      <c r="AW16" s="29">
        <f>AVERAGE(Y339:Y368)</f>
        <v/>
      </c>
      <c r="AX16" s="57">
        <f>AVERAGE(Z339:Z368)</f>
        <v/>
      </c>
    </row>
    <row r="17">
      <c r="C17" s="1" t="n">
        <v>46125</v>
      </c>
      <c r="D17" s="1">
        <f>TEXT(C17,"aaa")</f>
        <v/>
      </c>
      <c r="E17" s="0" t="n">
        <v>100</v>
      </c>
      <c r="F17" s="0">
        <f>IF(E17=0,"",(E17-G17))</f>
        <v/>
      </c>
      <c r="G17" s="0" t="n">
        <v>6</v>
      </c>
      <c r="H17" s="0" t="n">
        <v>24920</v>
      </c>
      <c r="I17" s="0" t="n">
        <v>13440</v>
      </c>
      <c r="J17" s="0">
        <f>IF(H17=0,"",(H17-I17))</f>
        <v/>
      </c>
      <c r="K17" s="0">
        <f>IF(E17=0,"",(J17/E17))</f>
        <v/>
      </c>
      <c r="L17" s="0" t="n">
        <v>75.40000000000001</v>
      </c>
      <c r="M17" s="0" t="n">
        <v>65.59999999999999</v>
      </c>
      <c r="O17" s="0" t="n">
        <v>77</v>
      </c>
      <c r="P17" s="0" t="n">
        <v>7</v>
      </c>
      <c r="Q17" s="0" t="n">
        <v>11</v>
      </c>
      <c r="R17" s="0" t="n">
        <v>5</v>
      </c>
      <c r="S17" s="0">
        <f>SUM(N17:O17)</f>
        <v/>
      </c>
      <c r="T17" s="48">
        <f>IF(S17=0,"",(S17/E17*100))</f>
        <v/>
      </c>
      <c r="U17" s="48">
        <f>P17/E17*100</f>
        <v/>
      </c>
      <c r="V17" s="48">
        <f>Q17/E17*100</f>
        <v/>
      </c>
      <c r="W17" s="48">
        <f>R17/E17*100</f>
        <v/>
      </c>
      <c r="X17" s="0" t="n">
        <v>687</v>
      </c>
      <c r="Y17" s="0" t="n">
        <v>705.36</v>
      </c>
      <c r="Z17" s="0" t="n">
        <v>192.6</v>
      </c>
      <c r="AB17" s="30" t="inlineStr">
        <is>
          <t>total</t>
        </is>
      </c>
      <c r="AC17" s="31">
        <f>SUM(AC5:AC16)</f>
        <v/>
      </c>
      <c r="AD17" s="31">
        <f>SUM(AD5:AD16)</f>
        <v/>
      </c>
      <c r="AE17" s="30">
        <f>SUM(AE5:AE16)</f>
        <v/>
      </c>
      <c r="AF17" s="31">
        <f>SUM(AF5:AF16)</f>
        <v/>
      </c>
      <c r="AG17" s="31">
        <f>SUM(AG5:AG16)</f>
        <v/>
      </c>
      <c r="AH17" s="31">
        <f>SUM(AH5:AH16)</f>
        <v/>
      </c>
      <c r="AI17" s="51">
        <f>AH17/AC17</f>
        <v/>
      </c>
      <c r="AJ17" s="51">
        <f>AVERAGEIF(AJ5:AJ16,"&lt;&gt;""")</f>
        <v/>
      </c>
      <c r="AK17" s="52">
        <f>AVERAGEIF(AK5:AK16,"&lt;&gt;""")</f>
        <v/>
      </c>
      <c r="AL17" s="31">
        <f>SUM(AL5:AL16)</f>
        <v/>
      </c>
      <c r="AM17" s="31">
        <f>SUM(AM5:AM16)</f>
        <v/>
      </c>
      <c r="AN17" s="31">
        <f>SUM(AN5:AN16)</f>
        <v/>
      </c>
      <c r="AO17" s="31">
        <f>SUM(AO5:AO16)</f>
        <v/>
      </c>
      <c r="AP17" s="30">
        <f>SUM(AP5:AP16)</f>
        <v/>
      </c>
      <c r="AQ17" s="31">
        <f>SUM(AQ5:AQ16)</f>
        <v/>
      </c>
      <c r="AR17" s="53">
        <f>AQ17/AC17*100</f>
        <v/>
      </c>
      <c r="AS17" s="39">
        <f>AN17/AC17*100</f>
        <v/>
      </c>
      <c r="AT17" s="39">
        <f>AO17/AC17*100</f>
        <v/>
      </c>
      <c r="AU17" s="40">
        <f>AP17/AC17*100</f>
        <v/>
      </c>
      <c r="AV17" s="36">
        <f>AVERAGEIF(X105:X135,"&lt;&gt;""")</f>
        <v/>
      </c>
      <c r="AW17" s="36">
        <f>AVERAGEIF(Y105:Y135,"&lt;&gt;""")</f>
        <v/>
      </c>
      <c r="AX17" s="51">
        <f>AVERAGEIF(Z105:Z135,"&lt;&gt;""")</f>
        <v/>
      </c>
    </row>
    <row r="18">
      <c r="C18" s="1" t="n">
        <v>46126</v>
      </c>
      <c r="D18" s="1">
        <f>TEXT(C18,"aaa")</f>
        <v/>
      </c>
      <c r="E18" s="0" t="n">
        <v>100</v>
      </c>
      <c r="F18" s="0">
        <f>IF(E18=0,"",(E18-G18))</f>
        <v/>
      </c>
      <c r="H18" s="0" t="n">
        <v>25740</v>
      </c>
      <c r="I18" s="0" t="n">
        <v>13430</v>
      </c>
      <c r="J18" s="0">
        <f>IF(H18=0,"",(H18-I18))</f>
        <v/>
      </c>
      <c r="K18" s="0">
        <f>IF(E18=0,"",(J18/E18))</f>
        <v/>
      </c>
      <c r="L18" s="0" t="n">
        <v>82.09999999999999</v>
      </c>
      <c r="M18" s="0" t="n">
        <v>66.7</v>
      </c>
      <c r="N18" s="0" t="n">
        <v>1</v>
      </c>
      <c r="O18" s="0" t="n">
        <v>81</v>
      </c>
      <c r="P18" s="0" t="n">
        <v>6</v>
      </c>
      <c r="Q18" s="0" t="n">
        <v>11</v>
      </c>
      <c r="R18" s="0" t="n">
        <v>1</v>
      </c>
      <c r="S18" s="0">
        <f>SUM(N18:O18)</f>
        <v/>
      </c>
      <c r="T18" s="48">
        <f>IF(S18=0,"",(S18/E18*100))</f>
        <v/>
      </c>
      <c r="U18" s="48">
        <f>P18/E18*100</f>
        <v/>
      </c>
      <c r="V18" s="48">
        <f>Q18/E18*100</f>
        <v/>
      </c>
      <c r="W18" s="48">
        <f>R18/E18*100</f>
        <v/>
      </c>
      <c r="X18" s="0" t="n">
        <v>684</v>
      </c>
      <c r="Y18" s="0" t="n">
        <v>977.4400000000001</v>
      </c>
      <c r="Z18" s="0" t="n">
        <v>170.03</v>
      </c>
      <c r="AB18" s="12" t="inlineStr">
        <is>
          <t>R7</t>
        </is>
      </c>
      <c r="AC18" s="0" t="n">
        <v>22729</v>
      </c>
      <c r="AD18" s="0" t="n">
        <v>22159</v>
      </c>
      <c r="AE18" s="12" t="n">
        <v>570</v>
      </c>
      <c r="AF18" s="0" t="n">
        <v>5862040</v>
      </c>
      <c r="AG18" s="0" t="n">
        <v>3232840</v>
      </c>
      <c r="AH18" s="0" t="n">
        <v>2629200</v>
      </c>
      <c r="AI18" s="48" t="n">
        <v>115.6760086233446</v>
      </c>
      <c r="AJ18" s="48" t="n">
        <v>77.33462759381619</v>
      </c>
      <c r="AK18" s="54" t="n">
        <v>66.89576216914931</v>
      </c>
      <c r="AL18" s="0" t="n">
        <v>324</v>
      </c>
      <c r="AM18" s="0" t="n">
        <v>17936</v>
      </c>
      <c r="AN18" s="0" t="n">
        <v>1619</v>
      </c>
      <c r="AO18" s="0" t="n">
        <v>2279</v>
      </c>
      <c r="AP18" s="12" t="n">
        <v>429</v>
      </c>
      <c r="AQ18" s="0" t="n">
        <v>18260</v>
      </c>
      <c r="AR18" s="48" t="n">
        <v>80.33789432003168</v>
      </c>
      <c r="AS18" s="48" t="n">
        <v>7.123058647542786</v>
      </c>
      <c r="AT18" s="48" t="n">
        <v>10.02683796031502</v>
      </c>
      <c r="AU18" s="54" t="n">
        <v>1.887456553301949</v>
      </c>
      <c r="AV18" s="5" t="n">
        <v>787.1818181818181</v>
      </c>
      <c r="AW18" s="5" t="n">
        <v>818.8145454545454</v>
      </c>
      <c r="AX18" s="5" t="n">
        <v>176.3540909090909</v>
      </c>
    </row>
    <row r="19">
      <c r="A19" s="3" t="n"/>
      <c r="C19" s="1" t="n">
        <v>46126</v>
      </c>
      <c r="D19" s="1" t="n"/>
      <c r="E19" s="0" t="n">
        <v>50</v>
      </c>
      <c r="F19" s="0">
        <f>IF(E19=0,"",(E19-G19))</f>
        <v/>
      </c>
      <c r="H19" s="0" t="n">
        <v>25170</v>
      </c>
      <c r="I19" s="0" t="n">
        <v>19180</v>
      </c>
      <c r="J19" s="0">
        <f>IF(H19=0,"",(H19-I19))</f>
        <v/>
      </c>
      <c r="K19" s="0">
        <f>IF(E19=0,"",(J19/E19))</f>
        <v/>
      </c>
      <c r="L19" s="0" t="n">
        <v>80.2</v>
      </c>
      <c r="M19" s="0" t="n">
        <v>66.90000000000001</v>
      </c>
      <c r="N19" s="0" t="n">
        <v>3</v>
      </c>
      <c r="O19" s="0" t="n">
        <v>46</v>
      </c>
      <c r="Q19" s="0" t="n">
        <v>1</v>
      </c>
      <c r="S19" s="0">
        <f>SUM(N19:O19)</f>
        <v/>
      </c>
      <c r="T19" s="48">
        <f>IF(S19=0,"",(S19/E19*100))</f>
        <v/>
      </c>
      <c r="U19" s="48">
        <f>P19/E19*100</f>
        <v/>
      </c>
      <c r="V19" s="48">
        <f>Q19/E19*100</f>
        <v/>
      </c>
      <c r="W19" s="48">
        <f>R19/E19*100</f>
        <v/>
      </c>
      <c r="X19" s="0" t="n">
        <v>695</v>
      </c>
      <c r="Y19" s="0" t="n">
        <v>836</v>
      </c>
      <c r="Z19" s="0" t="n">
        <v>180.8</v>
      </c>
      <c r="AB19" s="31" t="inlineStr">
        <is>
          <t>R6</t>
        </is>
      </c>
      <c r="AC19" s="37" t="n">
        <v>20186</v>
      </c>
      <c r="AD19" s="31" t="n">
        <v>19514</v>
      </c>
      <c r="AE19" s="30" t="n">
        <v>672</v>
      </c>
      <c r="AF19" s="31" t="n">
        <v>5267310</v>
      </c>
      <c r="AG19" s="31" t="n">
        <v>2951433</v>
      </c>
      <c r="AH19" s="31" t="n">
        <v>2315877</v>
      </c>
      <c r="AI19" s="51" t="n">
        <v>114.7268899237095</v>
      </c>
      <c r="AJ19" s="51" t="n">
        <v>77.41606047744109</v>
      </c>
      <c r="AK19" s="52" t="n">
        <v>67.451417386399</v>
      </c>
      <c r="AL19" s="31" t="n">
        <v>370</v>
      </c>
      <c r="AM19" s="31" t="n">
        <v>15528</v>
      </c>
      <c r="AN19" s="31" t="n">
        <v>1402</v>
      </c>
      <c r="AO19" s="31" t="n">
        <v>2517</v>
      </c>
      <c r="AP19" s="30" t="n">
        <v>360</v>
      </c>
      <c r="AQ19" s="31" t="n">
        <v>16066</v>
      </c>
      <c r="AR19" s="51" t="n">
        <v>79.58981472307541</v>
      </c>
      <c r="AS19" s="51" t="n">
        <v>6.945407708312692</v>
      </c>
      <c r="AT19" s="51" t="n">
        <v>12.46903794709204</v>
      </c>
      <c r="AU19" s="52" t="n">
        <v>1.783414247498266</v>
      </c>
      <c r="AV19" s="31" t="n">
        <v>616</v>
      </c>
      <c r="AW19" s="31" t="n"/>
      <c r="AX19" s="31" t="n"/>
    </row>
    <row r="20">
      <c r="A20" s="3" t="n"/>
      <c r="C20" s="1" t="n">
        <v>46128</v>
      </c>
      <c r="D20" s="1">
        <f>TEXT(C20,"aaa")</f>
        <v/>
      </c>
      <c r="F20" s="0">
        <f>IF(E20=0,"",(E20-G20))</f>
        <v/>
      </c>
      <c r="J20" s="0">
        <f>IF(H20=0,"",(H20-I20))</f>
        <v/>
      </c>
      <c r="K20" s="0">
        <f>IF(E20=0,"",(J20/E20))</f>
        <v/>
      </c>
      <c r="T20" s="48" t="n"/>
      <c r="U20" s="48" t="n"/>
      <c r="V20" s="48" t="n"/>
      <c r="W20" s="48" t="n"/>
      <c r="AB20" s="0" t="inlineStr">
        <is>
          <t>KPI</t>
        </is>
      </c>
      <c r="AC20" s="14" t="n"/>
      <c r="AE20" s="12" t="n"/>
      <c r="AK20" s="12" t="n"/>
      <c r="AP20" s="12" t="n"/>
      <c r="AU20" s="12" t="n"/>
    </row>
    <row r="21">
      <c r="C21" s="1" t="n">
        <v>46129</v>
      </c>
      <c r="D21" s="1">
        <f>TEXT(C21,"aaa")</f>
        <v/>
      </c>
      <c r="F21" s="0">
        <f>IF(E21=0,"",(E21-G21))</f>
        <v/>
      </c>
      <c r="J21" s="0">
        <f>IF(H21=0,"",(H21-I21))</f>
        <v/>
      </c>
      <c r="K21" s="0">
        <f>IF(E21=0,"",(J21/E21))</f>
        <v/>
      </c>
      <c r="T21" s="48" t="n"/>
      <c r="U21" s="48" t="n"/>
      <c r="V21" s="48" t="n"/>
      <c r="W21" s="48" t="n"/>
      <c r="AI21" s="48" t="n"/>
      <c r="AJ21" s="48" t="n"/>
    </row>
    <row r="22">
      <c r="C22" s="1" t="n">
        <v>46130</v>
      </c>
      <c r="D22" s="1">
        <f>TEXT(C22,"aaa")</f>
        <v/>
      </c>
      <c r="F22" s="0">
        <f>IF(E22=0,"",(E22-G22))</f>
        <v/>
      </c>
      <c r="J22" s="0">
        <f>IF(H22=0,"",(H22-I22))</f>
        <v/>
      </c>
      <c r="K22" s="0">
        <f>IF(E22=0,"",(J22/E22))</f>
        <v/>
      </c>
      <c r="T22" s="48" t="n"/>
      <c r="U22" s="48" t="n"/>
      <c r="V22" s="48" t="n"/>
      <c r="W22" s="48" t="n"/>
      <c r="AB22" s="0" t="inlineStr">
        <is>
          <t>●９号出荷</t>
        </is>
      </c>
    </row>
    <row r="23" ht="18.6" customHeight="1" s="47" thickBot="1">
      <c r="C23" s="1" t="n">
        <v>46131</v>
      </c>
      <c r="D23" s="1">
        <f>TEXT(C23,"aaa")</f>
        <v/>
      </c>
      <c r="E23" s="0" t="n">
        <v>100</v>
      </c>
      <c r="F23" s="0">
        <f>IF(E23=0,"",(E23-G23))</f>
        <v/>
      </c>
      <c r="H23" s="0" t="n">
        <v>25650</v>
      </c>
      <c r="I23" s="0" t="n">
        <v>13280</v>
      </c>
      <c r="J23" s="0">
        <f>IF(H23=0,"",(H23-I23))</f>
        <v/>
      </c>
      <c r="K23" s="0">
        <f>IF(E23=0,"",(J23/E23))</f>
        <v/>
      </c>
      <c r="L23" s="0" t="n">
        <v>83.90000000000001</v>
      </c>
      <c r="M23" s="0" t="n">
        <v>67.90000000000001</v>
      </c>
      <c r="N23" s="0" t="n">
        <v>1</v>
      </c>
      <c r="O23" s="0" t="n">
        <v>74</v>
      </c>
      <c r="P23" s="0" t="n">
        <v>10</v>
      </c>
      <c r="Q23" s="0" t="n">
        <v>15</v>
      </c>
      <c r="S23" s="0">
        <f>SUM(N23:O23)</f>
        <v/>
      </c>
      <c r="T23" s="48">
        <f>IF(S23=0,"",(S23/E23*100))</f>
        <v/>
      </c>
      <c r="U23" s="48">
        <f>P23/E23*100</f>
        <v/>
      </c>
      <c r="V23" s="48">
        <f>Q23/E23*100</f>
        <v/>
      </c>
      <c r="W23" s="48">
        <f>R23/E23*100</f>
        <v/>
      </c>
      <c r="X23" s="0" t="n">
        <v>661</v>
      </c>
      <c r="Y23" s="0" t="n">
        <v>954.16</v>
      </c>
      <c r="Z23" s="0" t="n">
        <v>170.55</v>
      </c>
      <c r="AB23" s="15" t="inlineStr">
        <is>
          <t>月</t>
        </is>
      </c>
      <c r="AC23" s="8" t="n"/>
      <c r="AD23" s="8" t="n"/>
      <c r="AE23" s="15" t="n"/>
      <c r="AF23" s="8" t="n"/>
      <c r="AG23" s="8" t="n"/>
      <c r="AH23" s="8" t="n"/>
      <c r="AI23" s="8" t="n"/>
      <c r="AJ23" s="8" t="n"/>
      <c r="AK23" s="15" t="n"/>
      <c r="AL23" s="8" t="n"/>
      <c r="AM23" s="8" t="n"/>
      <c r="AN23" s="8" t="n"/>
      <c r="AO23" s="8" t="n"/>
      <c r="AP23" s="15" t="n"/>
      <c r="AQ23" s="8" t="n"/>
      <c r="AR23" s="8" t="n"/>
      <c r="AS23" s="8" t="n"/>
      <c r="AT23" s="8" t="n"/>
      <c r="AU23" s="15" t="n"/>
      <c r="AV23" s="8" t="n"/>
    </row>
    <row r="24">
      <c r="C24" s="1" t="n">
        <v>46132</v>
      </c>
      <c r="D24" s="1">
        <f>TEXT(C24,"aaa")</f>
        <v/>
      </c>
      <c r="E24" s="0" t="n">
        <v>100</v>
      </c>
      <c r="F24" s="0">
        <f>IF(E24=0,"",(E24-G24))</f>
        <v/>
      </c>
      <c r="H24" s="0" t="n">
        <v>25960</v>
      </c>
      <c r="I24" s="0" t="n">
        <v>13310</v>
      </c>
      <c r="J24" s="0">
        <f>IF(H24=0,"",(H24-I24))</f>
        <v/>
      </c>
      <c r="K24" s="0">
        <f>IF(E24=0,"",(J24/E24))</f>
        <v/>
      </c>
      <c r="L24" s="0" t="n">
        <v>84.3</v>
      </c>
      <c r="M24" s="0" t="n">
        <v>66.59999999999999</v>
      </c>
      <c r="O24" s="0" t="n">
        <v>67</v>
      </c>
      <c r="P24" s="0" t="n">
        <v>9</v>
      </c>
      <c r="Q24" s="0" t="n">
        <v>18</v>
      </c>
      <c r="R24" s="0" t="n">
        <v>6</v>
      </c>
      <c r="S24" s="0">
        <f>SUM(N24:O24)</f>
        <v/>
      </c>
      <c r="T24" s="48">
        <f>IF(S24=0,"",(S24/E24*100))</f>
        <v/>
      </c>
      <c r="U24" s="48">
        <f>P24/E24*100</f>
        <v/>
      </c>
      <c r="V24" s="48">
        <f>Q24/E24*100</f>
        <v/>
      </c>
      <c r="W24" s="48">
        <f>R24/E24*100</f>
        <v/>
      </c>
      <c r="X24" s="0" t="n">
        <v>639</v>
      </c>
      <c r="Y24" s="0" t="n">
        <v>720.54</v>
      </c>
      <c r="Z24" s="0" t="n">
        <v>192.1</v>
      </c>
      <c r="AB24" s="30" t="n">
        <v>4</v>
      </c>
      <c r="AC24" s="31">
        <f>SUMIFS(E$5:E$34,$D$5:$D$34,"火")</f>
        <v/>
      </c>
      <c r="AD24" s="31">
        <f>SUMIFS(F$5:F$34,$D$5:$D$34,"火")</f>
        <v/>
      </c>
      <c r="AE24" s="41">
        <f>SUMIFS(G$5:G$34,$D$5:$D$34,"火")</f>
        <v/>
      </c>
      <c r="AF24" s="31">
        <f>SUMIFS(H$5:H$34,$D$5:$D$34,"火")</f>
        <v/>
      </c>
      <c r="AG24" s="31">
        <f>SUMIFS(I$5:I$34,$D$5:$D$34,"火")</f>
        <v/>
      </c>
      <c r="AH24" s="31">
        <f>SUMIFS(J$5:J$34,$D$5:$D$34,"火")</f>
        <v/>
      </c>
      <c r="AI24" s="51">
        <f>AVERAGEIFS(K$5:K$34,$D$5:$D$34,"火")</f>
        <v/>
      </c>
      <c r="AJ24" s="31">
        <f>AVERAGEIFS(L$5:L$34,$D$5:$D$34,"火")</f>
        <v/>
      </c>
      <c r="AK24" s="58">
        <f>AVERAGEIFS(M$5:M$34,$D$5:$D$34,"火")</f>
        <v/>
      </c>
      <c r="AL24" s="31">
        <f>SUMIFS(N$5:N$34,$D$5:$D$34,"火")</f>
        <v/>
      </c>
      <c r="AM24" s="31">
        <f>SUMIFS(O$5:O$34,$D$5:$D$34,"火")</f>
        <v/>
      </c>
      <c r="AN24" s="31">
        <f>SUMIFS(P$5:P$34,$D$5:$D$34,"火")</f>
        <v/>
      </c>
      <c r="AO24" s="31">
        <f>SUMIFS(Q$5:Q$34,$D$5:$D$34,"火")</f>
        <v/>
      </c>
      <c r="AP24" s="41">
        <f>SUMIFS(R$5:R$34,$D$5:$D$34,"火")</f>
        <v/>
      </c>
      <c r="AQ24" s="31">
        <f>SUMIFS(S$5:S$34,$D$5:$D$34,"火")</f>
        <v/>
      </c>
      <c r="AR24" s="31">
        <f>AQ24/AC24*100</f>
        <v/>
      </c>
      <c r="AS24" s="31">
        <f>SUMIFS(U$5:U$34,$D$5:$D$34,"火")</f>
        <v/>
      </c>
      <c r="AT24" s="31">
        <f>SUMIFS(V$5:V$34,$D$5:$D$34,"火")</f>
        <v/>
      </c>
      <c r="AU24" s="41">
        <f>SUMIFS(W$5:W$34,$D$5:$D$34,"火")</f>
        <v/>
      </c>
      <c r="AV24" s="51">
        <f>AVERAGEIFS(X$5:X$34,$D$5:$D$34,"火")</f>
        <v/>
      </c>
      <c r="AW24" s="43">
        <f>AVERAGEIFS(Y$5:Y$34,$D$5:$D$34,"火")</f>
        <v/>
      </c>
      <c r="AX24" s="43">
        <f>AVERAGEIFS(Z$5:Z$34,$D$5:$D$34,"火")</f>
        <v/>
      </c>
    </row>
    <row r="25">
      <c r="C25" s="1" t="n">
        <v>46132</v>
      </c>
      <c r="D25" s="1">
        <f>TEXT(C25,"aaa")</f>
        <v/>
      </c>
      <c r="E25" s="0" t="n">
        <v>100</v>
      </c>
      <c r="F25" s="0">
        <f>IF(E25=0,"",(E25-G25))</f>
        <v/>
      </c>
      <c r="G25" s="0" t="n">
        <v>5</v>
      </c>
      <c r="H25" s="0" t="n">
        <v>25150</v>
      </c>
      <c r="I25" s="0" t="n">
        <v>13290</v>
      </c>
      <c r="J25" s="0">
        <f>IF(H25=0,"",(H25-I25))</f>
        <v/>
      </c>
      <c r="K25" s="0">
        <f>IF(E25=0,"",(J25/E25))</f>
        <v/>
      </c>
      <c r="L25" s="0" t="n">
        <v>78</v>
      </c>
      <c r="M25" s="0" t="n">
        <v>65.8</v>
      </c>
      <c r="N25" s="0" t="n">
        <v>1</v>
      </c>
      <c r="O25" s="0" t="n">
        <v>72</v>
      </c>
      <c r="P25" s="0" t="n">
        <v>10</v>
      </c>
      <c r="Q25" s="0" t="n">
        <v>13</v>
      </c>
      <c r="R25" s="0" t="n">
        <v>4</v>
      </c>
      <c r="S25" s="0">
        <f>SUM(N25:O25)</f>
        <v/>
      </c>
      <c r="T25" s="48">
        <f>IF(S25=0,"",(S25/E25*100))</f>
        <v/>
      </c>
      <c r="U25" s="48">
        <f>P25/E25*100</f>
        <v/>
      </c>
      <c r="V25" s="48">
        <f>Q25/E25*100</f>
        <v/>
      </c>
      <c r="W25" s="48">
        <f>R25/E25*100</f>
        <v/>
      </c>
      <c r="X25" s="0" t="n">
        <v>662</v>
      </c>
      <c r="Y25" s="0" t="n">
        <v>891.3</v>
      </c>
      <c r="Z25" s="0" t="n">
        <v>181.54</v>
      </c>
      <c r="AB25" s="12" t="n">
        <v>5</v>
      </c>
      <c r="AC25" s="0">
        <f>SUM(E40,E47,E54,E61)</f>
        <v/>
      </c>
      <c r="AD25" s="0">
        <f>SUM(F40,F47,F54,F61)</f>
        <v/>
      </c>
      <c r="AE25" s="12">
        <f>SUM(G40,G47,G54,G61)</f>
        <v/>
      </c>
      <c r="AF25" s="0">
        <f>SUM(H40,H47,H54,H61)</f>
        <v/>
      </c>
      <c r="AG25" s="0">
        <f>SUM(I40,I47,I54,I61)</f>
        <v/>
      </c>
      <c r="AH25" s="0">
        <f>AF25-AG25</f>
        <v/>
      </c>
      <c r="AI25" s="48">
        <f>AH25/AC25</f>
        <v/>
      </c>
      <c r="AJ25" s="48">
        <f>AVERAGE(L40,L47,L54,L61)</f>
        <v/>
      </c>
      <c r="AK25" s="54">
        <f>AVERAGE(M40,M47,M54,M61)</f>
        <v/>
      </c>
      <c r="AL25" s="0">
        <f>SUM(N40,N47,N54,N61)</f>
        <v/>
      </c>
      <c r="AM25" s="0">
        <f>SUM(O40,O47,O54,O61)</f>
        <v/>
      </c>
      <c r="AN25" s="0">
        <f>SUM(P40,P47,P54,P61)</f>
        <v/>
      </c>
      <c r="AO25" s="0">
        <f>SUM(Q40,Q47,Q54,Q61)</f>
        <v/>
      </c>
      <c r="AP25" s="12">
        <f>SUM(R40,R47,R54,R61)</f>
        <v/>
      </c>
      <c r="AQ25" s="0">
        <f>SUM(S40,S47,S54,S61)</f>
        <v/>
      </c>
      <c r="AR25" s="0">
        <f>AQ25/AC25*100</f>
        <v/>
      </c>
      <c r="AS25" s="0">
        <f>AN25/AC25*100</f>
        <v/>
      </c>
      <c r="AT25" s="0">
        <f>AO25/AC25*100</f>
        <v/>
      </c>
      <c r="AU25" s="12">
        <f>AP25/AC25*100</f>
        <v/>
      </c>
      <c r="AV25" s="5">
        <f>AVERAGE(X40,X47,X54,X61)</f>
        <v/>
      </c>
      <c r="AW25" s="5">
        <f>AVERAGE(Y40,Y47,Y54,Y61)</f>
        <v/>
      </c>
      <c r="AX25" s="48">
        <f>AVERAGE(Z40,Z47,Z54,Z61)</f>
        <v/>
      </c>
    </row>
    <row r="26">
      <c r="C26" s="1" t="n">
        <v>46133</v>
      </c>
      <c r="D26" s="1" t="n"/>
      <c r="E26" s="0" t="n">
        <v>100</v>
      </c>
      <c r="F26" s="0">
        <f>IF(E26=0,"",(E26-G26))</f>
        <v/>
      </c>
      <c r="G26" s="0" t="n">
        <v>4</v>
      </c>
      <c r="H26" s="0" t="n">
        <v>25670</v>
      </c>
      <c r="I26" s="0" t="n">
        <v>13870</v>
      </c>
      <c r="J26" s="0">
        <f>IF(H26=0,"",(H26-I26))</f>
        <v/>
      </c>
      <c r="K26" s="0">
        <f>IF(E26=0,"",(J26/E26))</f>
        <v/>
      </c>
      <c r="L26" s="0" t="n">
        <v>78.3</v>
      </c>
      <c r="O26" s="0" t="n">
        <v>75</v>
      </c>
      <c r="P26" s="0" t="n">
        <v>5</v>
      </c>
      <c r="Q26" s="0" t="n">
        <v>16</v>
      </c>
      <c r="R26" s="0" t="n">
        <v>3</v>
      </c>
      <c r="S26" s="0">
        <f>SUM(N26:O26)</f>
        <v/>
      </c>
      <c r="T26" s="48">
        <f>IF(S26=0,"",(S26/E26*100))</f>
        <v/>
      </c>
      <c r="U26" s="48">
        <f>P26/E26*100</f>
        <v/>
      </c>
      <c r="V26" s="48">
        <f>Q26/E26*100</f>
        <v/>
      </c>
      <c r="W26" s="48">
        <f>R26/E26*100</f>
        <v/>
      </c>
      <c r="X26" s="0" t="n">
        <v>660</v>
      </c>
      <c r="Y26" s="0" t="n">
        <v>803.72</v>
      </c>
      <c r="Z26" s="0" t="n">
        <v>167.4</v>
      </c>
      <c r="AB26" s="30" t="n">
        <v>6</v>
      </c>
      <c r="AC26" s="31">
        <f>SUM(E68,E75,E82,E89,)</f>
        <v/>
      </c>
      <c r="AD26" s="31">
        <f>SUM(F68,F75,F82,F89,)</f>
        <v/>
      </c>
      <c r="AE26" s="30">
        <f>SUM(G68,G75,G82,G89,)</f>
        <v/>
      </c>
      <c r="AF26" s="31">
        <f>SUM(H68,H75,H82,H89,)</f>
        <v/>
      </c>
      <c r="AG26" s="31">
        <f>SUM(I68,I75,I82,I89,)</f>
        <v/>
      </c>
      <c r="AH26" s="31">
        <f>SUM(J68,J75,J82,J89,)</f>
        <v/>
      </c>
      <c r="AI26" s="51">
        <f>AH26/AC26</f>
        <v/>
      </c>
      <c r="AJ26" s="31">
        <f>AVERAGE(L68,L75,L82,L89)</f>
        <v/>
      </c>
      <c r="AK26" s="52">
        <f>AVERAGE(M68,M75,M82,M89)</f>
        <v/>
      </c>
      <c r="AL26" s="31">
        <f>SUM(N68,N75,N82,N89,)</f>
        <v/>
      </c>
      <c r="AM26" s="31">
        <f>SUM(O68,O75,O82,O89,)</f>
        <v/>
      </c>
      <c r="AN26" s="31">
        <f>SUM(P68,P75,P82,P89,)</f>
        <v/>
      </c>
      <c r="AO26" s="31">
        <f>SUM(Q68,Q75,Q82,Q89,)</f>
        <v/>
      </c>
      <c r="AP26" s="30">
        <f>SUM(R68,R75,R82,R89,)</f>
        <v/>
      </c>
      <c r="AQ26" s="31">
        <f>SUM(S68,S75,S82,S89,)</f>
        <v/>
      </c>
      <c r="AR26" s="51">
        <f>AQ26/AC26*100</f>
        <v/>
      </c>
      <c r="AS26" s="31">
        <f>AN26/AC26*100</f>
        <v/>
      </c>
      <c r="AT26" s="51">
        <f>AO26/AC26*100</f>
        <v/>
      </c>
      <c r="AU26" s="30">
        <f>AP26/AC26*100</f>
        <v/>
      </c>
      <c r="AV26" s="36">
        <f>AVERAGE(X68,X75,X82,X89)</f>
        <v/>
      </c>
      <c r="AW26" s="36">
        <f>AVERAGE(Y68,Y75,Y82,Y89)</f>
        <v/>
      </c>
      <c r="AX26" s="51">
        <f>AVERAGE(Z68,Z75,Z82,Z89)</f>
        <v/>
      </c>
    </row>
    <row r="27">
      <c r="A27" s="3" t="n"/>
      <c r="C27" s="1" t="n">
        <v>46133</v>
      </c>
      <c r="D27" s="1">
        <f>TEXT(C27,"aaa")</f>
        <v/>
      </c>
      <c r="E27" s="0" t="n">
        <v>50</v>
      </c>
      <c r="F27" s="0">
        <f>IF(E27=0,"",(E27-G27))</f>
        <v/>
      </c>
      <c r="H27" s="0" t="n">
        <v>19930</v>
      </c>
      <c r="I27" s="0" t="n">
        <v>13780</v>
      </c>
      <c r="J27" s="0">
        <f>IF(H27=0,"",(H27-I27))</f>
        <v/>
      </c>
      <c r="K27" s="0">
        <f>IF(E27=0,"",(J27/E27))</f>
        <v/>
      </c>
      <c r="L27" s="0" t="n">
        <v>82.5</v>
      </c>
      <c r="M27" s="0" t="n">
        <v>67.09999999999999</v>
      </c>
      <c r="O27" s="0" t="n">
        <v>30</v>
      </c>
      <c r="P27" s="0" t="n">
        <v>8</v>
      </c>
      <c r="Q27" s="0" t="n">
        <v>11</v>
      </c>
      <c r="R27" s="0" t="n">
        <v>1</v>
      </c>
      <c r="S27" s="0">
        <f>SUM(N27:O27)</f>
        <v/>
      </c>
      <c r="T27" s="48">
        <f>IF(S27=0,"",(S27/E27*100))</f>
        <v/>
      </c>
      <c r="U27" s="48">
        <f>P27/E27*100</f>
        <v/>
      </c>
      <c r="V27" s="48">
        <f>Q27/E27*100</f>
        <v/>
      </c>
      <c r="W27" s="48">
        <f>R27/E27*100</f>
        <v/>
      </c>
      <c r="X27" s="0" t="n">
        <v>646</v>
      </c>
      <c r="Y27" s="0" t="n">
        <v>901.59</v>
      </c>
      <c r="Z27" s="0" t="n">
        <v>175.36</v>
      </c>
      <c r="AB27" s="12" t="n">
        <v>7</v>
      </c>
      <c r="AC27" s="0">
        <f>SUM(E96,E103,E110,E117,E124)</f>
        <v/>
      </c>
      <c r="AD27" s="0">
        <f>SUM(F96,F103,F110,F117,F124)</f>
        <v/>
      </c>
      <c r="AE27" s="12">
        <f>SUM(G96,G103,G110,G117,G124)</f>
        <v/>
      </c>
      <c r="AF27" s="0">
        <f>SUM(H96,H103,H110,H117,H124)</f>
        <v/>
      </c>
      <c r="AG27" s="0">
        <f>SUM(I96,I103,I110,I117,I124)</f>
        <v/>
      </c>
      <c r="AH27" s="0">
        <f>SUM(J96,J103,J110,J117,J124)</f>
        <v/>
      </c>
      <c r="AI27" s="48">
        <f>AH27/AC27</f>
        <v/>
      </c>
      <c r="AJ27" s="48">
        <f>AVERAGE(L96,L103,L110,L117,L124)</f>
        <v/>
      </c>
      <c r="AK27" s="54">
        <f>AVERAGE(M96,M103,M110,M117,M124)</f>
        <v/>
      </c>
      <c r="AL27" s="0">
        <f>SUM(N96,N103,N110,N117,N124)</f>
        <v/>
      </c>
      <c r="AM27" s="0">
        <f>SUM(O96,O103,O110,O117,O124)</f>
        <v/>
      </c>
      <c r="AN27" s="0">
        <f>SUM(P96,P103,P110,P117,P124)</f>
        <v/>
      </c>
      <c r="AO27" s="0">
        <f>SUM(Q96,Q103,Q110,Q117,Q124)</f>
        <v/>
      </c>
      <c r="AP27" s="12">
        <f>SUM(R96,R103,R110,R117,R124)</f>
        <v/>
      </c>
      <c r="AQ27" s="0">
        <f>SUM(S96,S103,S110,S117,S124)</f>
        <v/>
      </c>
      <c r="AR27" s="48">
        <f>AQ27/AC27*100</f>
        <v/>
      </c>
      <c r="AS27" s="48">
        <f>AN27/AC27*100</f>
        <v/>
      </c>
      <c r="AT27" s="48">
        <f>AO27/AC27*100</f>
        <v/>
      </c>
      <c r="AU27" s="54">
        <f>AP27/AC27*100</f>
        <v/>
      </c>
      <c r="AV27" s="5">
        <f>AVERAGE(X96,X103,X110,X117,X124)</f>
        <v/>
      </c>
      <c r="AW27" s="5">
        <f>AVERAGE(Y96,Y103,Y110,Y117,Y124)</f>
        <v/>
      </c>
      <c r="AX27" s="48">
        <f>AVERAGE(Z96,Z103,Z110,Z117,Z124)</f>
        <v/>
      </c>
    </row>
    <row r="28">
      <c r="A28" s="3" t="n"/>
      <c r="C28" s="1" t="n">
        <v>46136</v>
      </c>
      <c r="D28" s="1">
        <f>TEXT(C28,"aaa")</f>
        <v/>
      </c>
      <c r="E28" s="0" t="n">
        <v>70</v>
      </c>
      <c r="F28" s="0">
        <f>IF(E28=0,"",(E28-G28))</f>
        <v/>
      </c>
      <c r="H28" s="0" t="n">
        <v>21990</v>
      </c>
      <c r="I28" s="0" t="n">
        <v>13270</v>
      </c>
      <c r="J28" s="0">
        <f>IF(H28=0,"",(H28-I28))</f>
        <v/>
      </c>
      <c r="K28" s="0">
        <f>IF(E28=0,"",(J28/E28))</f>
        <v/>
      </c>
      <c r="L28" s="0" t="n">
        <v>83.90000000000001</v>
      </c>
      <c r="M28" s="0" t="n">
        <v>67.3</v>
      </c>
      <c r="O28" s="0" t="n">
        <v>51</v>
      </c>
      <c r="P28" s="0" t="n">
        <v>9</v>
      </c>
      <c r="Q28" s="0" t="n">
        <v>10</v>
      </c>
      <c r="S28" s="0">
        <f>SUM(N28:O28)</f>
        <v/>
      </c>
      <c r="T28" s="48">
        <f>IF(S28=0,"",(S28/E28*100))</f>
        <v/>
      </c>
      <c r="U28" s="48">
        <f>P28/E28*100</f>
        <v/>
      </c>
      <c r="V28" s="48">
        <f>Q28/E28*100</f>
        <v/>
      </c>
      <c r="X28" s="0" t="n">
        <v>712</v>
      </c>
      <c r="Y28" s="0" t="n">
        <v>985.0599999999999</v>
      </c>
      <c r="Z28" s="0" t="n">
        <v>181</v>
      </c>
      <c r="AB28" s="30" t="n">
        <v>8</v>
      </c>
      <c r="AC28" s="31">
        <f>SUM(E131,E138,E145,E152)</f>
        <v/>
      </c>
      <c r="AD28" s="31">
        <f>SUM(F131,F138,F145,F152)</f>
        <v/>
      </c>
      <c r="AE28" s="31">
        <f>SUM(G131,G138,G145,G152)</f>
        <v/>
      </c>
      <c r="AF28" s="37">
        <f>SUM(H131,H138,H145,H152)</f>
        <v/>
      </c>
      <c r="AG28" s="31">
        <f>SUM(I131,I138,I145,I152)</f>
        <v/>
      </c>
      <c r="AH28" s="31">
        <f>SUM(J131,J138,J145,J152)</f>
        <v/>
      </c>
      <c r="AI28" s="51">
        <f>AH28/AC28</f>
        <v/>
      </c>
      <c r="AJ28" s="51">
        <f>AVERAGE(L131,L138,L145,L152)</f>
        <v/>
      </c>
      <c r="AK28" s="51">
        <f>AVERAGE(M131,M138,M145,M152)</f>
        <v/>
      </c>
      <c r="AL28" s="37">
        <f>SUM(N131,N138,N145,N152)</f>
        <v/>
      </c>
      <c r="AM28" s="31">
        <f>SUM(O131,O138,O145,O152)</f>
        <v/>
      </c>
      <c r="AN28" s="31">
        <f>SUM(P131,P138,P145,P152)</f>
        <v/>
      </c>
      <c r="AO28" s="31">
        <f>SUM(Q131,Q138,Q145,Q152)</f>
        <v/>
      </c>
      <c r="AP28" s="31">
        <f>SUM(R131,R138,R145,R152)</f>
        <v/>
      </c>
      <c r="AQ28" s="37">
        <f>SUM(S131,S138,S145,S152)</f>
        <v/>
      </c>
      <c r="AR28" s="51">
        <f>AQ28/AC28*100</f>
        <v/>
      </c>
      <c r="AS28" s="51">
        <f>AN28/AC28*100</f>
        <v/>
      </c>
      <c r="AT28" s="51">
        <f>AO28/AC28*100</f>
        <v/>
      </c>
      <c r="AU28" s="52">
        <f>AP28/AC28*100</f>
        <v/>
      </c>
      <c r="AV28" s="36">
        <f>AVERAGE(X131,X138,X145,X152)</f>
        <v/>
      </c>
      <c r="AW28" s="36">
        <f>AVERAGE(Y131,Y138,Y145,Y152)</f>
        <v/>
      </c>
      <c r="AX28" s="51">
        <f>AVERAGE(Z131,Z138,Z145,Z152)</f>
        <v/>
      </c>
    </row>
    <row r="29">
      <c r="C29" s="1" t="n">
        <v>46137</v>
      </c>
      <c r="D29" s="1">
        <f>TEXT(C29,"aaa")</f>
        <v/>
      </c>
      <c r="F29" s="0">
        <f>IF(E29=0,"",(E29-G29))</f>
        <v/>
      </c>
      <c r="J29" s="0">
        <f>IF(H29=0,"",(H29-I29))</f>
        <v/>
      </c>
      <c r="K29" s="0">
        <f>IF(E29=0,"",(J29/E29))</f>
        <v/>
      </c>
      <c r="T29" s="48" t="n"/>
      <c r="U29" s="48" t="n"/>
      <c r="V29" s="48" t="n"/>
      <c r="AB29" s="12" t="n">
        <v>9</v>
      </c>
      <c r="AC29" s="0">
        <f>SUM(E159,E166,E173,E180,E187)</f>
        <v/>
      </c>
      <c r="AD29" s="0">
        <f>SUM(F159,F166,F173,F180,F187)</f>
        <v/>
      </c>
      <c r="AE29" s="0">
        <f>SUM(G159,G166,G173,G180,G187)</f>
        <v/>
      </c>
      <c r="AF29" s="14">
        <f>SUM(H159,H166,H173,H180,H187)</f>
        <v/>
      </c>
      <c r="AG29" s="0">
        <f>SUM(I159,I166,I173,I180,I187)</f>
        <v/>
      </c>
      <c r="AH29" s="0">
        <f>SUM(J159,J166,J173,J180,J187)</f>
        <v/>
      </c>
      <c r="AI29" s="48">
        <f>AH29/AC29</f>
        <v/>
      </c>
      <c r="AJ29" s="48">
        <f>AVERAGE(L159,L166,L173,L180,L187)</f>
        <v/>
      </c>
      <c r="AK29" s="48">
        <f>AVERAGE(M159,M166,M173,M180,M187)</f>
        <v/>
      </c>
      <c r="AL29" s="14">
        <f>SUM(N159,N166,N173,N180,N187)</f>
        <v/>
      </c>
      <c r="AM29" s="0">
        <f>SUM(O159,O166,O173,O180,O187)</f>
        <v/>
      </c>
      <c r="AN29" s="0">
        <f>SUM(P159,P166,P173,P180,P187)</f>
        <v/>
      </c>
      <c r="AO29" s="0">
        <f>SUM(Q159,Q166,Q173,Q180,Q187)</f>
        <v/>
      </c>
      <c r="AP29" s="0">
        <f>SUM(R159,R166,R173,R180,R187)</f>
        <v/>
      </c>
      <c r="AQ29" s="14">
        <f>SUM(S159,S166,S173,S180,S187)</f>
        <v/>
      </c>
      <c r="AR29" s="48">
        <f>AQ29/AC29*100</f>
        <v/>
      </c>
      <c r="AS29" s="48">
        <f>AN29/AC29*100</f>
        <v/>
      </c>
      <c r="AT29" s="48">
        <f>AO29/AC29*100</f>
        <v/>
      </c>
      <c r="AU29" s="54">
        <f>AP29/AC29*100</f>
        <v/>
      </c>
      <c r="AV29" s="5">
        <f>AVERAGE(X159,X166,X173,X180,X187)</f>
        <v/>
      </c>
      <c r="AW29" s="5">
        <f>AVERAGE(Y159,Y166,Y173,Y180,Y187)</f>
        <v/>
      </c>
      <c r="AX29" s="48">
        <f>AVERAGE(Z159,Z166,Z173,Z180,Z187)</f>
        <v/>
      </c>
    </row>
    <row r="30">
      <c r="C30" s="1" t="n">
        <v>46138</v>
      </c>
      <c r="D30" s="1">
        <f>TEXT(C30,"aaa")</f>
        <v/>
      </c>
      <c r="E30" s="0" t="n">
        <v>100</v>
      </c>
      <c r="F30" s="0">
        <f>IF(E30=0,"",(E30-G30))</f>
        <v/>
      </c>
      <c r="G30" s="0" t="n">
        <v>14</v>
      </c>
      <c r="H30" s="0" t="n">
        <v>23470</v>
      </c>
      <c r="I30" s="0" t="n">
        <v>13600</v>
      </c>
      <c r="J30" s="0">
        <f>IF(H30=0,"",(H30-I30))</f>
        <v/>
      </c>
      <c r="K30" s="0">
        <f>IF(E30=0,"",(J30/E30))</f>
        <v/>
      </c>
      <c r="L30" s="0" t="n">
        <v>63.8</v>
      </c>
      <c r="M30" s="0" t="n">
        <v>64.7</v>
      </c>
      <c r="O30" s="0" t="n">
        <v>29</v>
      </c>
      <c r="P30" s="0" t="n">
        <v>17</v>
      </c>
      <c r="Q30" s="0" t="n">
        <v>37</v>
      </c>
      <c r="R30" s="0" t="n">
        <v>17</v>
      </c>
      <c r="S30" s="0">
        <f>SUM(N30:O30)</f>
        <v/>
      </c>
      <c r="T30" s="48">
        <f>IF(S30=0,"",(S30/E30*100))</f>
        <v/>
      </c>
      <c r="U30" s="48">
        <f>P30/E30*100</f>
        <v/>
      </c>
      <c r="V30" s="48">
        <f>Q30/E30*100</f>
        <v/>
      </c>
      <c r="X30" s="0" t="n">
        <v>681</v>
      </c>
      <c r="AB30" s="30" t="n">
        <v>10</v>
      </c>
      <c r="AC30" s="31">
        <f>SUM(E194,E201,E208,E215)</f>
        <v/>
      </c>
      <c r="AD30" s="31">
        <f>SUM(F194,F201,F208,F215)</f>
        <v/>
      </c>
      <c r="AE30" s="31">
        <f>SUM(G194,G201,G208,G215)</f>
        <v/>
      </c>
      <c r="AF30" s="37">
        <f>SUM(H194,H201,H208,H215)</f>
        <v/>
      </c>
      <c r="AG30" s="31">
        <f>SUM(I194,I201,I208,I215)</f>
        <v/>
      </c>
      <c r="AH30" s="31">
        <f>SUM(J194,J201,J208,J215)</f>
        <v/>
      </c>
      <c r="AI30" s="51">
        <f>AH30/AC30</f>
        <v/>
      </c>
      <c r="AJ30" s="31">
        <f>AVERAGE(L194,L201,L208,L215)</f>
        <v/>
      </c>
      <c r="AK30" s="51">
        <f>AVERAGE(M194,M201,M208,M215)</f>
        <v/>
      </c>
      <c r="AL30" s="37">
        <f>SUM(N194,N201,N208,N215)</f>
        <v/>
      </c>
      <c r="AM30" s="31">
        <f>SUM(O194,O201,O208,O215)</f>
        <v/>
      </c>
      <c r="AN30" s="31">
        <f>SUM(P194,P201,P208,P215)</f>
        <v/>
      </c>
      <c r="AO30" s="31">
        <f>SUM(Q194,Q201,Q208,Q215)</f>
        <v/>
      </c>
      <c r="AP30" s="30">
        <f>SUM(R194,R201,R208,R215)</f>
        <v/>
      </c>
      <c r="AQ30" s="31">
        <f>SUM(S194,S201,S208,S215)</f>
        <v/>
      </c>
      <c r="AR30" s="51">
        <f>AQ30/AC30*100</f>
        <v/>
      </c>
      <c r="AS30" s="51">
        <f>AN30/AC30*100</f>
        <v/>
      </c>
      <c r="AT30" s="51">
        <f>AO30/AC30*100</f>
        <v/>
      </c>
      <c r="AU30" s="52">
        <f>AP30/AC30*100</f>
        <v/>
      </c>
      <c r="AV30" s="31">
        <f>AVERAGE(X194,X201,X208,X215)</f>
        <v/>
      </c>
      <c r="AW30" s="36">
        <f>AVERAGE(Y194,Y201,Y208,Y215)</f>
        <v/>
      </c>
      <c r="AX30" s="51">
        <f>AVERAGE(Z194,Z201,Z208,Z215)</f>
        <v/>
      </c>
    </row>
    <row r="31">
      <c r="C31" s="1" t="n">
        <v>46139</v>
      </c>
      <c r="D31" s="1">
        <f>TEXT(C31,"aaa")</f>
        <v/>
      </c>
      <c r="F31" s="0">
        <f>IF(E31=0,"",(E31-G31))</f>
        <v/>
      </c>
      <c r="J31" s="0">
        <f>IF(H31=0,"",(H31-I31))</f>
        <v/>
      </c>
      <c r="K31" s="0">
        <f>IF(E31=0,"",(J31/E31))</f>
        <v/>
      </c>
      <c r="T31" s="48" t="n"/>
      <c r="U31" s="48" t="n"/>
      <c r="V31" s="48" t="n"/>
      <c r="AB31" s="12" t="n">
        <v>11</v>
      </c>
      <c r="AC31" s="19">
        <f>SUM(E222,E229,E236,E243)</f>
        <v/>
      </c>
      <c r="AD31" s="19">
        <f>SUM(F222,F229,F236,F243)</f>
        <v/>
      </c>
      <c r="AE31" s="19">
        <f>SUM(G222,G229,G236,G243)</f>
        <v/>
      </c>
      <c r="AF31" s="21">
        <f>SUM(H222,H229,H236,H243)</f>
        <v/>
      </c>
      <c r="AG31" s="19">
        <f>SUM(I222,I229,I236,I243)</f>
        <v/>
      </c>
      <c r="AH31" s="19">
        <f>SUM(J222,J229,J236,J243)</f>
        <v/>
      </c>
      <c r="AI31" s="55">
        <f>AH31/AC31</f>
        <v/>
      </c>
      <c r="AJ31" s="55">
        <f>AVERAGE(L222,L229,L236,L243)</f>
        <v/>
      </c>
      <c r="AK31" s="55">
        <f>AVERAGE(M222,M229,M236,M243)</f>
        <v/>
      </c>
      <c r="AL31" s="21">
        <f>SUM(N222,N229,N236,N243)</f>
        <v/>
      </c>
      <c r="AM31" s="19">
        <f>SUM(O222,O229,O236,O243)</f>
        <v/>
      </c>
      <c r="AN31" s="19">
        <f>SUM(P222,P229,P236,P243)</f>
        <v/>
      </c>
      <c r="AO31" s="19">
        <f>SUM(Q222,Q229,Q236,Q243)</f>
        <v/>
      </c>
      <c r="AP31" s="19">
        <f>SUM(R222,R229,R236,R243)</f>
        <v/>
      </c>
      <c r="AQ31" s="21">
        <f>SUM(S222,S229,S236,S243)</f>
        <v/>
      </c>
      <c r="AR31" s="55">
        <f>AQ31/AC31*100</f>
        <v/>
      </c>
      <c r="AS31" s="55">
        <f>AN31/AC31*100</f>
        <v/>
      </c>
      <c r="AT31" s="55">
        <f>AO31/AC31*100</f>
        <v/>
      </c>
      <c r="AU31" s="56">
        <f>AP31/AC31*100</f>
        <v/>
      </c>
      <c r="AV31" s="26">
        <f>AVERAGE(X222,X229,X236,X243)</f>
        <v/>
      </c>
      <c r="AW31" s="26">
        <f>AVERAGE(Y222,Y229,Y236,Y243)</f>
        <v/>
      </c>
      <c r="AX31" s="55">
        <f>AVERAGE(Z222,Z229,Z236,Z243)</f>
        <v/>
      </c>
    </row>
    <row r="32">
      <c r="C32" s="1" t="n">
        <v>46140</v>
      </c>
      <c r="D32" s="1">
        <f>TEXT(C32,"aaa")</f>
        <v/>
      </c>
      <c r="E32" s="0" t="n">
        <v>100</v>
      </c>
      <c r="F32" s="0">
        <f>IF(E32=0,"",(E32-G32))</f>
        <v/>
      </c>
      <c r="G32" s="0" t="n">
        <v>10</v>
      </c>
      <c r="H32" s="0" t="n">
        <v>24250</v>
      </c>
      <c r="I32" s="0" t="n">
        <v>13730</v>
      </c>
      <c r="J32" s="0">
        <f>IF(H32=0,"",(H32-I32))</f>
        <v/>
      </c>
      <c r="K32" s="0">
        <f>IF(E32=0,"",(J32/E32))</f>
        <v/>
      </c>
      <c r="L32" s="0" t="n">
        <v>69.59999999999999</v>
      </c>
      <c r="M32" s="0" t="n">
        <v>66.09999999999999</v>
      </c>
      <c r="N32" s="0" t="n">
        <v>1</v>
      </c>
      <c r="O32" s="0" t="n">
        <v>66</v>
      </c>
      <c r="P32" s="0" t="n">
        <v>11</v>
      </c>
      <c r="Q32" s="0" t="n">
        <v>20</v>
      </c>
      <c r="R32" s="0" t="n">
        <v>2</v>
      </c>
      <c r="S32" s="0">
        <f>SUM(N32:O32)</f>
        <v/>
      </c>
      <c r="T32" s="48">
        <f>IF(S32=0,"",(S32/E32*100))</f>
        <v/>
      </c>
      <c r="U32" s="48">
        <f>P32/E32*100</f>
        <v/>
      </c>
      <c r="V32" s="48">
        <f>Q32/E32*100</f>
        <v/>
      </c>
      <c r="X32" s="0" t="n">
        <v>702</v>
      </c>
      <c r="AB32" s="30" t="n">
        <v>12</v>
      </c>
      <c r="AC32" s="31">
        <f>SUM(E250,E257,E264,E271)</f>
        <v/>
      </c>
      <c r="AD32" s="31">
        <f>SUM(F250,F257,F264,F271)</f>
        <v/>
      </c>
      <c r="AE32" s="30">
        <f>SUM(G250,G257,G264,G271)</f>
        <v/>
      </c>
      <c r="AF32" s="31">
        <f>SUM(H250,H257,H264,H271)</f>
        <v/>
      </c>
      <c r="AG32" s="31">
        <f>SUM(I250,I257,I264,I271)</f>
        <v/>
      </c>
      <c r="AH32" s="31">
        <f>SUM(J250,J257,J264,J271)</f>
        <v/>
      </c>
      <c r="AI32" s="51">
        <f>AH32/AC32</f>
        <v/>
      </c>
      <c r="AJ32" s="51">
        <f>AVERAGE(L223,L230,L237,L244)</f>
        <v/>
      </c>
      <c r="AK32" s="52">
        <f>AVERAGE(M223,M230,M237,M244)</f>
        <v/>
      </c>
      <c r="AL32" s="31">
        <f>SUM(N250,N257,N264,N271)</f>
        <v/>
      </c>
      <c r="AM32" s="31">
        <f>SUM(O250,O257,O264,O271)</f>
        <v/>
      </c>
      <c r="AN32" s="31">
        <f>SUM(P250,P257,P264,P271)</f>
        <v/>
      </c>
      <c r="AO32" s="31">
        <f>SUM(Q250,Q257,Q264,Q271)</f>
        <v/>
      </c>
      <c r="AP32" s="30">
        <f>SUM(R250,R257,R264,R271)</f>
        <v/>
      </c>
      <c r="AQ32" s="31">
        <f>SUM(S250,S257,S264,S271)</f>
        <v/>
      </c>
      <c r="AR32" s="51">
        <f>AQ32/AC32*100</f>
        <v/>
      </c>
      <c r="AS32" s="51">
        <f>AN32/AC32*100</f>
        <v/>
      </c>
      <c r="AT32" s="51">
        <f>AO32/AC32*100</f>
        <v/>
      </c>
      <c r="AU32" s="52">
        <f>AP32/AC32*100</f>
        <v/>
      </c>
      <c r="AV32" s="36">
        <f>AVERAGE(X223,X230,X237,X244)</f>
        <v/>
      </c>
      <c r="AW32" s="36">
        <f>AVERAGE(Y223,Y230,Y237,Y244)</f>
        <v/>
      </c>
      <c r="AX32" s="51">
        <f>AVERAGE(Z223,Z230,Z237,Z244)</f>
        <v/>
      </c>
    </row>
    <row r="33">
      <c r="C33" s="1" t="n">
        <v>46141</v>
      </c>
      <c r="D33" s="1">
        <f>TEXT(C33,"aaa")</f>
        <v/>
      </c>
      <c r="E33" s="0" t="n">
        <v>70</v>
      </c>
      <c r="F33" s="0">
        <f>IF(E33=0,"",(E33-G33))</f>
        <v/>
      </c>
      <c r="G33" s="0" t="n">
        <v>10</v>
      </c>
      <c r="H33" s="0" t="n">
        <v>22130</v>
      </c>
      <c r="I33" s="0" t="n">
        <v>14430</v>
      </c>
      <c r="J33" s="0">
        <f>IF(H33=0,"",(H33-I33))</f>
        <v/>
      </c>
      <c r="K33" s="0">
        <f>IF(E33=0,"",(J33/E33))</f>
        <v/>
      </c>
      <c r="L33" s="0" t="n">
        <v>72.40000000000001</v>
      </c>
      <c r="O33" s="0" t="n">
        <v>51</v>
      </c>
      <c r="P33" s="0" t="n">
        <v>3</v>
      </c>
      <c r="Q33" s="0" t="n">
        <v>9</v>
      </c>
      <c r="R33" s="0" t="n">
        <v>6</v>
      </c>
      <c r="S33" s="0">
        <f>SUM(N33:O33)</f>
        <v/>
      </c>
      <c r="T33" s="48">
        <f>IF(S33=0,"",(S33/E33*100))</f>
        <v/>
      </c>
      <c r="U33" s="48">
        <f>P33/E33*100</f>
        <v/>
      </c>
      <c r="V33" s="48">
        <f>Q33/E33*100</f>
        <v/>
      </c>
      <c r="X33" s="0" t="n">
        <v>719</v>
      </c>
      <c r="AB33" s="12" t="n">
        <v>1</v>
      </c>
      <c r="AC33" s="0">
        <f>SUM(E285,E292,E299,E306)</f>
        <v/>
      </c>
      <c r="AD33" s="0">
        <f>SUM(F285,F292,F299,F306)</f>
        <v/>
      </c>
      <c r="AE33" s="12">
        <f>SUM(G285,G292,G299,G306)</f>
        <v/>
      </c>
      <c r="AF33" s="0">
        <f>SUM(H285,H292,H299,H306)</f>
        <v/>
      </c>
      <c r="AG33" s="0">
        <f>SUM(I285,I292,I299,I306)</f>
        <v/>
      </c>
      <c r="AH33" s="0">
        <f>SUM(J285,J292,J299,J306)</f>
        <v/>
      </c>
      <c r="AI33" s="48">
        <f>AH33/AC33</f>
        <v/>
      </c>
      <c r="AJ33" s="48">
        <f>AVERAGE(L224,L231,L238,L245)</f>
        <v/>
      </c>
      <c r="AK33" s="54">
        <f>AVERAGE(M224,M231,M238,M245)</f>
        <v/>
      </c>
      <c r="AL33" s="0">
        <f>SUM(N285,N292,N299,N306)</f>
        <v/>
      </c>
      <c r="AM33" s="0">
        <f>SUM(O285,O292,O299,O306)</f>
        <v/>
      </c>
      <c r="AN33" s="0">
        <f>SUM(P285,P292,P299,P306)</f>
        <v/>
      </c>
      <c r="AO33" s="0">
        <f>SUM(Q285,Q292,Q299,Q306)</f>
        <v/>
      </c>
      <c r="AP33" s="12">
        <f>SUM(R285,R292,R299,R306)</f>
        <v/>
      </c>
      <c r="AQ33" s="0">
        <f>SUM(S285,S292,S299,S306)</f>
        <v/>
      </c>
      <c r="AR33" s="48">
        <f>AQ33/AC33*100</f>
        <v/>
      </c>
      <c r="AS33" s="48">
        <f>AN33/AC33*100</f>
        <v/>
      </c>
      <c r="AT33" s="48">
        <f>AO33/AC33*100</f>
        <v/>
      </c>
      <c r="AU33" s="54">
        <f>AP33/AC33*100</f>
        <v/>
      </c>
      <c r="AV33" s="5">
        <f>AVERAGE(X224,X231,X238,X245)</f>
        <v/>
      </c>
      <c r="AW33" s="5">
        <f>AVERAGE(Y224,Y231,Y238,Y245)</f>
        <v/>
      </c>
      <c r="AX33" s="48">
        <f>AVERAGE(Z224,Z231,Z238,Z245)</f>
        <v/>
      </c>
    </row>
    <row r="34" ht="18.6" customHeight="1" s="47" thickBot="1">
      <c r="A34" s="8" t="n"/>
      <c r="B34" s="8" t="n"/>
      <c r="C34" s="9" t="n">
        <v>46142</v>
      </c>
      <c r="D34" s="1">
        <f>TEXT(C34,"aaa")</f>
        <v/>
      </c>
      <c r="E34" s="8" t="n">
        <v>100</v>
      </c>
      <c r="F34" s="0">
        <f>IF(E34=0,"",(E34-G34))</f>
        <v/>
      </c>
      <c r="G34" s="8" t="n">
        <v>2</v>
      </c>
      <c r="H34" s="8" t="n">
        <v>25530</v>
      </c>
      <c r="I34" s="8" t="n">
        <v>13370</v>
      </c>
      <c r="J34" s="0">
        <f>IF(H34=0,"",(H34-I34))</f>
        <v/>
      </c>
      <c r="K34" s="0">
        <f>IF(E34=0,"",(J34/E34))</f>
        <v/>
      </c>
      <c r="L34" s="8" t="n">
        <v>80.7</v>
      </c>
      <c r="M34" s="8" t="n">
        <v>66.40000000000001</v>
      </c>
      <c r="N34" s="8" t="n"/>
      <c r="O34" s="8" t="n">
        <v>69</v>
      </c>
      <c r="P34" s="8" t="n">
        <v>6</v>
      </c>
      <c r="Q34" s="8" t="n">
        <v>21</v>
      </c>
      <c r="R34" s="8" t="n">
        <v>4</v>
      </c>
      <c r="S34" s="0">
        <f>SUM(N34:O34)</f>
        <v/>
      </c>
      <c r="T34" s="48">
        <f>IF(S34=0,"",(S34/E34*100))</f>
        <v/>
      </c>
      <c r="U34" s="48">
        <f>P34/E34*100</f>
        <v/>
      </c>
      <c r="V34" s="48">
        <f>Q34/E34*100</f>
        <v/>
      </c>
      <c r="X34" s="8" t="n">
        <v>756</v>
      </c>
      <c r="Y34" s="8" t="n">
        <v>769.73</v>
      </c>
      <c r="Z34" s="0" t="n">
        <v>191.32</v>
      </c>
      <c r="AA34" s="48" t="n"/>
      <c r="AB34" s="30" t="n">
        <v>2</v>
      </c>
      <c r="AC34" s="31">
        <f>SUM(E313,E320,E327,E334)</f>
        <v/>
      </c>
      <c r="AD34" s="31">
        <f>SUM(F313,F320,F327,F334)</f>
        <v/>
      </c>
      <c r="AE34" s="31">
        <f>SUM(G313,G320,G327,G334)</f>
        <v/>
      </c>
      <c r="AF34" s="37">
        <f>SUM(H313,H320,H327,H334)</f>
        <v/>
      </c>
      <c r="AG34" s="31">
        <f>SUM(I313,I320,I327,I334)</f>
        <v/>
      </c>
      <c r="AH34" s="31">
        <f>SUM(J313,J320,J327,J334)</f>
        <v/>
      </c>
      <c r="AI34" s="51">
        <f>AH34/AC34</f>
        <v/>
      </c>
      <c r="AJ34" s="51">
        <f>AVERAGE(L313,L320,L327,L334)</f>
        <v/>
      </c>
      <c r="AK34" s="30">
        <f>AVERAGE(M313,M320,M327,M334)</f>
        <v/>
      </c>
      <c r="AL34" s="31">
        <f>SUM(N313,N320,N327,N334)</f>
        <v/>
      </c>
      <c r="AM34" s="31">
        <f>SUM(O313,O320,O327,O334)</f>
        <v/>
      </c>
      <c r="AN34" s="31">
        <f>SUM(P313,P320,P327,P334)</f>
        <v/>
      </c>
      <c r="AO34" s="31">
        <f>SUM(Q313,Q320,Q327,Q334)</f>
        <v/>
      </c>
      <c r="AP34" s="30">
        <f>SUM(R313,R320,R327,R334)</f>
        <v/>
      </c>
      <c r="AQ34" s="31">
        <f>SUM(S313,S320,S327,S334)</f>
        <v/>
      </c>
      <c r="AR34" s="51">
        <f>AQ34/AC34*100</f>
        <v/>
      </c>
      <c r="AS34" s="51">
        <f>AN34/AC34*100</f>
        <v/>
      </c>
      <c r="AT34" s="51">
        <f>AO34/AC34*100</f>
        <v/>
      </c>
      <c r="AU34" s="52">
        <f>AP34/AC34*100</f>
        <v/>
      </c>
      <c r="AV34" s="36">
        <f>AVERAGE(X313,X320,X327,X334)</f>
        <v/>
      </c>
      <c r="AW34" s="36">
        <f>AVERAGE(Y313,Y320,Y327,Y334)</f>
        <v/>
      </c>
      <c r="AX34" s="51">
        <f>AVERAGE(Z313,Z320,Z327,Z334)</f>
        <v/>
      </c>
    </row>
    <row r="35" ht="18.6" customHeight="1" s="47" thickBot="1">
      <c r="C35" s="1" t="n">
        <v>46155</v>
      </c>
      <c r="D35" s="1">
        <f>TEXT(C35,"aaa")</f>
        <v/>
      </c>
      <c r="E35" s="0" t="n">
        <v>100</v>
      </c>
      <c r="F35" s="0">
        <f>IF(E35=0,"",(E35-G35))</f>
        <v/>
      </c>
      <c r="H35" s="0" t="n">
        <v>25970</v>
      </c>
      <c r="I35" s="0" t="n">
        <v>13770</v>
      </c>
      <c r="J35" s="0">
        <f>IF(H35=0,"",(H35-I35))</f>
        <v/>
      </c>
      <c r="K35" s="0">
        <f>IF(E35=0,"",(J35/E35))</f>
        <v/>
      </c>
      <c r="L35" s="0" t="n">
        <v>81.8</v>
      </c>
      <c r="M35" s="0" t="n">
        <v>67.09999999999999</v>
      </c>
      <c r="N35" s="0" t="n"/>
      <c r="O35" s="0" t="n">
        <v>84</v>
      </c>
      <c r="P35" s="0" t="n">
        <v>6</v>
      </c>
      <c r="Q35" s="0" t="n">
        <v>9</v>
      </c>
      <c r="R35" t="n">
        <v>1</v>
      </c>
      <c r="S35" s="0">
        <f>SUM(N35:O35)</f>
        <v/>
      </c>
      <c r="T35" s="48">
        <f>IF(S35=0,"",(S35/E35*100))</f>
        <v/>
      </c>
      <c r="U35" s="48">
        <f>P35/E35*100</f>
        <v/>
      </c>
      <c r="V35" s="48">
        <f>Q35/E35*100</f>
        <v/>
      </c>
      <c r="W35" s="0">
        <f>R35/E35*100</f>
        <v/>
      </c>
      <c r="X35" s="0" t="n">
        <v>771</v>
      </c>
      <c r="AA35" s="48" t="n"/>
      <c r="AB35" s="15" t="n">
        <v>3</v>
      </c>
      <c r="AC35" s="8">
        <f>SUM(E341,E348,E355,E362,E369)</f>
        <v/>
      </c>
      <c r="AD35" s="8">
        <f>SUM(F341,F348,F355,F362,F369)</f>
        <v/>
      </c>
      <c r="AE35" s="15">
        <f>SUM(G341,G348,G355,G362,G369)</f>
        <v/>
      </c>
      <c r="AF35" s="8">
        <f>SUM(H341,H348,H355,H362,H369)</f>
        <v/>
      </c>
      <c r="AG35" s="8">
        <f>SUM(I341,I348,I355,I362,I369)</f>
        <v/>
      </c>
      <c r="AH35" s="8">
        <f>SUM(J341,J348,J355,J362,J369)</f>
        <v/>
      </c>
      <c r="AI35" s="57">
        <f>AH35/AC35</f>
        <v/>
      </c>
      <c r="AJ35" s="57">
        <f>AVERAGE(L341,L348,L355,L362,L369)</f>
        <v/>
      </c>
      <c r="AK35" s="57">
        <f>AVERAGE(M341,M348,M355,M362,M369)</f>
        <v/>
      </c>
      <c r="AL35" s="27">
        <f>SUM(N341,N348,N355,N362,N369)</f>
        <v/>
      </c>
      <c r="AM35" s="8">
        <f>SUM(O341,O348,O355,O362,O369)</f>
        <v/>
      </c>
      <c r="AN35" s="8">
        <f>SUM(P341,P348,P355,P362,P369)</f>
        <v/>
      </c>
      <c r="AO35" s="8">
        <f>SUM(Q341,Q348,Q355,Q362,Q369)</f>
        <v/>
      </c>
      <c r="AP35" s="15">
        <f>SUM(R341,R348,R355,R362,R369)</f>
        <v/>
      </c>
      <c r="AQ35" s="8">
        <f>SUM(S341,S348,S355,S362,S369)</f>
        <v/>
      </c>
      <c r="AR35" s="57">
        <f>AQ35/AC35*100</f>
        <v/>
      </c>
      <c r="AS35" s="57">
        <f>AN35/AC35*100</f>
        <v/>
      </c>
      <c r="AT35" s="57">
        <f>AO35/AC35*100</f>
        <v/>
      </c>
      <c r="AU35" s="59">
        <f>AP35/AC35*100</f>
        <v/>
      </c>
      <c r="AV35" s="8">
        <f>AVERAGE(X341,X348,X355,X362,X369)</f>
        <v/>
      </c>
      <c r="AW35" s="8">
        <f>AVERAGE(Y341,Y351,#REF!,#REF!,Y368)</f>
        <v/>
      </c>
      <c r="AX35" s="57">
        <f>AVERAGE(Z341,Z351,#REF!,#REF!,Z368)</f>
        <v/>
      </c>
    </row>
    <row r="36">
      <c r="C36" s="1" t="n">
        <v>46164</v>
      </c>
      <c r="D36" s="1">
        <f>TEXT(C36,"aaa")</f>
        <v/>
      </c>
      <c r="E36" s="0" t="n">
        <v>50</v>
      </c>
      <c r="F36" s="0">
        <f>IF(E36=0,"",(E36-G36))</f>
        <v/>
      </c>
      <c r="H36" s="0" t="n">
        <v>25500</v>
      </c>
      <c r="I36" s="0" t="n">
        <v>19490</v>
      </c>
      <c r="J36" s="0">
        <f>IF(H36=0,"",(H36-I36))</f>
        <v/>
      </c>
      <c r="K36" s="0">
        <f>IF(E36=0,"",(J36/E36))</f>
        <v/>
      </c>
      <c r="L36" s="0" t="n">
        <v>82.59999999999999</v>
      </c>
      <c r="M36" s="0" t="n">
        <v>68.8</v>
      </c>
      <c r="N36" s="0" t="n">
        <v>1</v>
      </c>
      <c r="O36" s="0" t="n">
        <v>41</v>
      </c>
      <c r="P36" s="0" t="n">
        <v>2</v>
      </c>
      <c r="Q36" s="0" t="n">
        <v>6</v>
      </c>
      <c r="R36" s="0" t="n"/>
      <c r="S36" s="0">
        <f>SUM(N36:O36)</f>
        <v/>
      </c>
      <c r="T36" s="48">
        <f>IF(S36=0,"",(S36/E36*100))</f>
        <v/>
      </c>
      <c r="U36" s="48">
        <f>P36/E36*100</f>
        <v/>
      </c>
      <c r="V36" s="48">
        <f>Q36/E36*100</f>
        <v/>
      </c>
      <c r="W36" s="0">
        <f>R36/E36*100</f>
        <v/>
      </c>
      <c r="X36" s="0" t="n">
        <v>625</v>
      </c>
      <c r="AB36" s="30" t="inlineStr">
        <is>
          <t>total</t>
        </is>
      </c>
      <c r="AC36" s="31">
        <f>SUM(AC24:AC35)</f>
        <v/>
      </c>
      <c r="AD36" s="31">
        <f>SUM(AD24:AD35)</f>
        <v/>
      </c>
      <c r="AE36" s="30">
        <f>SUM(AE24:AE35)</f>
        <v/>
      </c>
      <c r="AF36" s="31">
        <f>SUM(AF24:AF35)</f>
        <v/>
      </c>
      <c r="AG36" s="31">
        <f>SUM(AG24:AG35)</f>
        <v/>
      </c>
      <c r="AH36" s="31">
        <f>SUM(AH24:AH35)</f>
        <v/>
      </c>
      <c r="AI36" s="51">
        <f>AH36/AC36</f>
        <v/>
      </c>
      <c r="AJ36" s="51">
        <f>AVERAGEIF(AJ24:AJ35,"&lt;&gt;""")</f>
        <v/>
      </c>
      <c r="AK36" s="52">
        <f>AVERAGEIF(AK24:AK35,"&lt;&gt;""")</f>
        <v/>
      </c>
      <c r="AL36" s="31">
        <f>SUM(AL24:AL35)</f>
        <v/>
      </c>
      <c r="AM36" s="31">
        <f>SUM(AM24:AM35)</f>
        <v/>
      </c>
      <c r="AN36" s="31">
        <f>SUM(AN24:AN35)</f>
        <v/>
      </c>
      <c r="AO36" s="31">
        <f>SUM(AO24:AO35)</f>
        <v/>
      </c>
      <c r="AP36" s="30">
        <f>SUM(AP24:AP35)</f>
        <v/>
      </c>
      <c r="AQ36" s="31">
        <f>SUM(AQ24:AQ35)</f>
        <v/>
      </c>
      <c r="AR36" s="51">
        <f>AQ36/AC36*100</f>
        <v/>
      </c>
      <c r="AS36" s="34">
        <f>AN36/AC36*100</f>
        <v/>
      </c>
      <c r="AT36" s="34">
        <f>AO36/AC36*100</f>
        <v/>
      </c>
      <c r="AU36" s="35">
        <f>AP36/AC36*100</f>
        <v/>
      </c>
      <c r="AV36" s="36">
        <f>AVERAGEIF(AV24:AV35,"&lt;&gt;""")</f>
        <v/>
      </c>
      <c r="AW36" s="36">
        <f>AVERAGEIF(AW24:AW35,"&lt;&gt;""")</f>
        <v/>
      </c>
      <c r="AX36" s="51">
        <f>AVERAGEIF(AX24:AX35,"&lt;&gt;""")</f>
        <v/>
      </c>
    </row>
    <row r="37">
      <c r="C37" s="1" t="n">
        <v>46167</v>
      </c>
      <c r="D37" s="1">
        <f>TEXT(C37,"aaa")</f>
        <v/>
      </c>
      <c r="E37" t="n">
        <v>100</v>
      </c>
      <c r="F37" s="0">
        <f>IF(E37=0,"",(E37-G37))</f>
        <v/>
      </c>
      <c r="H37" t="n">
        <v>25440</v>
      </c>
      <c r="I37" t="n">
        <v>13300</v>
      </c>
      <c r="J37" s="0">
        <f>IF(H37=0,"",(H37-I37))</f>
        <v/>
      </c>
      <c r="K37" s="0">
        <f>IF(E37=0,"",(J37/E37))</f>
        <v/>
      </c>
      <c r="L37" t="n">
        <v>81.90000000000001</v>
      </c>
      <c r="M37" t="n">
        <v>67.5</v>
      </c>
      <c r="N37" t="n">
        <v>2</v>
      </c>
      <c r="O37" t="n">
        <v>83</v>
      </c>
      <c r="P37" t="n">
        <v>4</v>
      </c>
      <c r="Q37" t="n">
        <v>10</v>
      </c>
      <c r="R37" t="n">
        <v>1</v>
      </c>
      <c r="S37">
        <f>SUM(N37:O37)</f>
        <v/>
      </c>
      <c r="T37" s="48">
        <f>IF(S37=0,"",(S37/E37*100))</f>
        <v/>
      </c>
      <c r="U37" s="48">
        <f>P37/E37*100</f>
        <v/>
      </c>
      <c r="V37" s="48">
        <f>Q37/E37*100</f>
        <v/>
      </c>
      <c r="W37">
        <f>R37/E37*100</f>
        <v/>
      </c>
      <c r="X37" t="n">
        <v>625</v>
      </c>
      <c r="AB37" s="12" t="inlineStr">
        <is>
          <t>R7</t>
        </is>
      </c>
      <c r="AE37" s="12" t="n"/>
      <c r="AI37" s="48" t="n"/>
      <c r="AJ37" s="48" t="n"/>
      <c r="AK37" s="54" t="n"/>
      <c r="AP37" s="12" t="n"/>
      <c r="AR37" s="48" t="n"/>
      <c r="AS37" s="48" t="n"/>
      <c r="AT37" s="48" t="n"/>
      <c r="AU37" s="54" t="n"/>
      <c r="AV37" s="5" t="n"/>
    </row>
    <row r="38">
      <c r="C38" s="1" t="n">
        <v>45781</v>
      </c>
      <c r="D38" s="1">
        <f>TEXT(C38,"aaa")</f>
        <v/>
      </c>
      <c r="F38" s="0">
        <f>IF(E38=0,"",(E38-G38))</f>
        <v/>
      </c>
      <c r="J38" s="0">
        <f>IF(H38=0,"",(H38-I38))</f>
        <v/>
      </c>
      <c r="K38" s="0">
        <f>IF(E38=0,"",(J38/E38))</f>
        <v/>
      </c>
      <c r="R38" s="48" t="n"/>
      <c r="T38" s="48" t="n"/>
      <c r="U38" s="48" t="n"/>
      <c r="V38" s="48" t="n"/>
      <c r="AB38" s="31" t="inlineStr">
        <is>
          <t>R6</t>
        </is>
      </c>
      <c r="AC38" s="37" t="n"/>
      <c r="AD38" s="31" t="n"/>
      <c r="AE38" s="31" t="n"/>
      <c r="AF38" s="37" t="n"/>
      <c r="AG38" s="31" t="n"/>
      <c r="AH38" s="31" t="n"/>
      <c r="AI38" s="31" t="n"/>
      <c r="AJ38" s="31" t="n"/>
      <c r="AK38" s="31" t="n"/>
      <c r="AL38" s="37" t="n"/>
      <c r="AM38" s="31" t="n"/>
      <c r="AN38" s="31" t="n"/>
      <c r="AO38" s="31" t="n"/>
      <c r="AP38" s="31" t="n"/>
      <c r="AQ38" s="37" t="n"/>
      <c r="AR38" s="31" t="n"/>
      <c r="AS38" s="31" t="n"/>
      <c r="AT38" s="31" t="n"/>
      <c r="AU38" s="31" t="n"/>
      <c r="AV38" s="37" t="n"/>
      <c r="AW38" s="31" t="n"/>
      <c r="AX38" s="31" t="n"/>
    </row>
    <row r="39">
      <c r="C39" s="1" t="n">
        <v>45782</v>
      </c>
      <c r="D39" s="1">
        <f>TEXT(C39,"aaa")</f>
        <v/>
      </c>
      <c r="E39" s="0" t="n">
        <v>100</v>
      </c>
      <c r="F39" s="0">
        <f>IF(E39=0,"",(E39-G39))</f>
        <v/>
      </c>
      <c r="H39" s="0" t="n">
        <v>26170</v>
      </c>
      <c r="I39" s="0" t="n">
        <v>13340</v>
      </c>
      <c r="J39" s="0">
        <f>IF(H39=0,"",(H39-I39))</f>
        <v/>
      </c>
      <c r="K39" s="0">
        <f>IF(E39=0,"",(J39/E39))</f>
        <v/>
      </c>
      <c r="L39" s="0" t="n">
        <v>84.90000000000001</v>
      </c>
      <c r="M39" s="0" t="n">
        <v>66.2</v>
      </c>
      <c r="N39" s="0" t="n">
        <v>2</v>
      </c>
      <c r="O39" s="0" t="n">
        <v>30</v>
      </c>
      <c r="P39" s="0" t="n">
        <v>12</v>
      </c>
      <c r="Q39" s="0" t="n">
        <v>54</v>
      </c>
      <c r="R39" s="48" t="n">
        <v>2</v>
      </c>
      <c r="S39" s="0">
        <f>SUM(N39:O39)</f>
        <v/>
      </c>
      <c r="T39" s="48">
        <f>IF(S39=0,"",(S39/E39*100))</f>
        <v/>
      </c>
      <c r="U39" s="48">
        <f>P39/E39*100</f>
        <v/>
      </c>
      <c r="V39" s="48">
        <f>Q39/E39*100</f>
        <v/>
      </c>
      <c r="X39" s="0" t="n">
        <v>734</v>
      </c>
      <c r="Y39" s="0" t="n">
        <v>859.05</v>
      </c>
      <c r="Z39" s="0" t="n">
        <v>185.3</v>
      </c>
    </row>
    <row r="40">
      <c r="C40" s="1" t="n">
        <v>45783</v>
      </c>
      <c r="D40" s="1">
        <f>TEXT(C40,"aaa")</f>
        <v/>
      </c>
      <c r="E40" s="0" t="n">
        <v>100</v>
      </c>
      <c r="F40" s="0">
        <f>IF(E40=0,"",(E40-G40))</f>
        <v/>
      </c>
      <c r="H40" s="0" t="n">
        <v>26470</v>
      </c>
      <c r="I40" s="0" t="n">
        <v>13770</v>
      </c>
      <c r="J40" s="0">
        <f>IF(H40=0,"",(H40-I40))</f>
        <v/>
      </c>
      <c r="K40" s="0">
        <f>IF(E40=0,"",(J40/E40))</f>
        <v/>
      </c>
      <c r="L40" s="0" t="n">
        <v>84.90000000000001</v>
      </c>
      <c r="N40" s="0" t="n">
        <v>1</v>
      </c>
      <c r="O40" s="0" t="n">
        <v>38</v>
      </c>
      <c r="P40" s="0" t="n">
        <v>10</v>
      </c>
      <c r="Q40" s="0" t="n">
        <v>46</v>
      </c>
      <c r="R40" s="0" t="n">
        <v>3</v>
      </c>
      <c r="S40" s="0">
        <f>SUM(N40:O40)</f>
        <v/>
      </c>
      <c r="T40" s="48">
        <f>IF(S40=0,"",(S40/E40*100))</f>
        <v/>
      </c>
      <c r="U40" s="48">
        <f>P40/E40*100</f>
        <v/>
      </c>
      <c r="V40" s="48">
        <f>Q40/E40*100</f>
        <v/>
      </c>
      <c r="X40" s="0" t="n">
        <v>737</v>
      </c>
      <c r="Y40" s="0" t="n">
        <v>838.6799999999999</v>
      </c>
      <c r="Z40" s="0" t="n">
        <v>186.3</v>
      </c>
    </row>
    <row r="41">
      <c r="C41" s="1" t="n">
        <v>45784</v>
      </c>
      <c r="D41" s="1">
        <f>TEXT(C41,"aaa")</f>
        <v/>
      </c>
      <c r="E41" s="0" t="n">
        <v>100</v>
      </c>
      <c r="F41" s="0">
        <f>IF(E41=0,"",(E41-G41))</f>
        <v/>
      </c>
      <c r="G41" s="0" t="n">
        <v>1</v>
      </c>
      <c r="H41" s="0" t="n">
        <v>25660</v>
      </c>
      <c r="I41" s="0" t="n">
        <v>13210</v>
      </c>
      <c r="J41" s="0">
        <f>IF(H41=0,"",(H41-I41))</f>
        <v/>
      </c>
      <c r="K41" s="0">
        <f>IF(E41=0,"",(J41/E41))</f>
        <v/>
      </c>
      <c r="L41" s="0" t="n">
        <v>83.90000000000001</v>
      </c>
      <c r="M41" s="0" t="n">
        <v>67.40000000000001</v>
      </c>
      <c r="N41" s="0" t="n">
        <v>1</v>
      </c>
      <c r="O41" s="0" t="n">
        <v>58</v>
      </c>
      <c r="P41" s="0" t="n">
        <v>16</v>
      </c>
      <c r="Q41" s="0" t="n">
        <v>24</v>
      </c>
      <c r="R41" s="0" t="n">
        <v>1</v>
      </c>
      <c r="S41" s="0">
        <f>SUM(N41:O41)</f>
        <v/>
      </c>
      <c r="T41" s="48">
        <f>IF(S41=0,"",(S41/E41*100))</f>
        <v/>
      </c>
      <c r="U41" s="48">
        <f>P41/E41*100</f>
        <v/>
      </c>
      <c r="V41" s="48">
        <f>Q41/E41*100</f>
        <v/>
      </c>
      <c r="X41" s="0" t="n">
        <v>759</v>
      </c>
      <c r="Y41" s="0" t="n">
        <v>851.3099999999999</v>
      </c>
      <c r="Z41" s="0" t="n">
        <v>181.43</v>
      </c>
    </row>
    <row r="42">
      <c r="C42" s="1" t="n">
        <v>45785</v>
      </c>
      <c r="D42" s="1">
        <f>TEXT(C42,"aaa")</f>
        <v/>
      </c>
      <c r="F42" s="0">
        <f>IF(E42=0,"",(E42-G42))</f>
        <v/>
      </c>
      <c r="J42" s="0">
        <f>IF(H42=0,"",(H42-I42))</f>
        <v/>
      </c>
      <c r="K42" s="0">
        <f>IF(E42=0,"",(J42/E42))</f>
        <v/>
      </c>
      <c r="T42" s="48" t="n"/>
      <c r="U42" s="48" t="n"/>
      <c r="V42" s="48" t="n"/>
    </row>
    <row r="43">
      <c r="C43" s="1" t="n">
        <v>45786</v>
      </c>
      <c r="D43" s="1">
        <f>TEXT(C43,"aaa")</f>
        <v/>
      </c>
      <c r="E43" s="0" t="n">
        <v>100</v>
      </c>
      <c r="F43" s="0">
        <f>IF(E43=0,"",(E43-G43))</f>
        <v/>
      </c>
      <c r="H43" s="0" t="n">
        <v>26260</v>
      </c>
      <c r="I43" s="0" t="n">
        <v>13660</v>
      </c>
      <c r="J43" s="0">
        <f>IF(H43=0,"",(H43-I43))</f>
        <v/>
      </c>
      <c r="K43" s="0">
        <f>IF(E43=0,"",(J43/E43))</f>
        <v/>
      </c>
      <c r="L43" s="0" t="n">
        <v>84.40000000000001</v>
      </c>
      <c r="M43" s="0" t="n">
        <v>67</v>
      </c>
      <c r="O43" s="0" t="n">
        <v>79</v>
      </c>
      <c r="Q43" s="0" t="n">
        <v>20</v>
      </c>
      <c r="R43" s="0" t="n">
        <v>1</v>
      </c>
      <c r="S43" s="0">
        <f>SUM(N43:O43)</f>
        <v/>
      </c>
      <c r="T43" s="48">
        <f>IF(S43=0,"",(S43/E43*100))</f>
        <v/>
      </c>
      <c r="U43" s="48">
        <f>P43/E43*100</f>
        <v/>
      </c>
      <c r="V43" s="48">
        <f>Q43/E43*100</f>
        <v/>
      </c>
    </row>
    <row r="44">
      <c r="C44" s="1" t="n">
        <v>45787</v>
      </c>
      <c r="D44" s="1">
        <f>TEXT(C44,"aaa")</f>
        <v/>
      </c>
      <c r="F44" s="0">
        <f>IF(E44=0,"",(E44-G44))</f>
        <v/>
      </c>
      <c r="J44" s="0">
        <f>IF(H44=0,"",(H44-I44))</f>
        <v/>
      </c>
      <c r="K44" s="0">
        <f>IF(E44=0,"",(J44/E44))</f>
        <v/>
      </c>
      <c r="T44" s="48" t="n"/>
      <c r="U44" s="48" t="n"/>
      <c r="V44" s="48" t="n"/>
    </row>
    <row r="45">
      <c r="C45" s="1" t="n">
        <v>45788</v>
      </c>
      <c r="D45" s="1">
        <f>TEXT(C45,"aaa")</f>
        <v/>
      </c>
      <c r="E45" s="0" t="n">
        <v>100</v>
      </c>
      <c r="F45" s="0">
        <f>IF(E45=0,"",(E45-G45))</f>
        <v/>
      </c>
      <c r="H45" s="0" t="n">
        <v>25820</v>
      </c>
      <c r="I45" s="0" t="n">
        <v>13350</v>
      </c>
      <c r="J45" s="0">
        <f>IF(H45=0,"",(H45-I45))</f>
        <v/>
      </c>
      <c r="K45" s="0">
        <f>IF(E45=0,"",(J45/E45))</f>
        <v/>
      </c>
      <c r="L45" s="0" t="n">
        <v>85.40000000000001</v>
      </c>
      <c r="M45" s="0" t="n">
        <v>68.5</v>
      </c>
      <c r="O45" s="0" t="n">
        <v>61</v>
      </c>
      <c r="P45" s="0" t="n">
        <v>12</v>
      </c>
      <c r="Q45" s="0" t="n">
        <v>26</v>
      </c>
      <c r="R45" s="0" t="n">
        <v>1</v>
      </c>
      <c r="S45" s="0">
        <f>SUM(N45:O45)</f>
        <v/>
      </c>
      <c r="T45" s="48">
        <f>IF(S45=0,"",(S45/E45*100))</f>
        <v/>
      </c>
      <c r="U45" s="48">
        <f>P45/E45*100</f>
        <v/>
      </c>
      <c r="V45" s="48">
        <f>Q45/E45*100</f>
        <v/>
      </c>
      <c r="X45" s="0" t="n">
        <v>754</v>
      </c>
      <c r="Y45" s="0" t="n">
        <v>874.84</v>
      </c>
      <c r="Z45" s="0" t="n">
        <v>180.58</v>
      </c>
    </row>
    <row r="46">
      <c r="C46" s="1" t="n">
        <v>45789</v>
      </c>
      <c r="D46" s="1">
        <f>TEXT(C46,"aaa")</f>
        <v/>
      </c>
      <c r="E46" s="0" t="n">
        <v>100</v>
      </c>
      <c r="F46" s="0">
        <f>IF(E46=0,"",(E46-G46))</f>
        <v/>
      </c>
      <c r="H46" s="0" t="n">
        <v>25970</v>
      </c>
      <c r="I46" s="0" t="n">
        <v>13770</v>
      </c>
      <c r="J46" s="0">
        <f>IF(H46=0,"",(H46-I46))</f>
        <v/>
      </c>
      <c r="K46" s="0">
        <f>IF(E46=0,"",(J46/E46))</f>
        <v/>
      </c>
      <c r="L46" s="0" t="n">
        <v>81.8</v>
      </c>
      <c r="M46" s="0" t="n">
        <v>67.09999999999999</v>
      </c>
      <c r="O46" s="0" t="n">
        <v>84</v>
      </c>
      <c r="P46" s="0" t="n">
        <v>6</v>
      </c>
      <c r="Q46" s="0" t="n">
        <v>9</v>
      </c>
      <c r="R46" s="0" t="n">
        <v>1</v>
      </c>
      <c r="S46" s="0">
        <f>SUM(N46:O46)</f>
        <v/>
      </c>
      <c r="T46" s="48">
        <f>IF(S46=0,"",(S46/E46*100))</f>
        <v/>
      </c>
      <c r="U46" s="48">
        <f>P46/E46*100</f>
        <v/>
      </c>
      <c r="V46" s="48">
        <f>Q46/E46*100</f>
        <v/>
      </c>
      <c r="X46" s="0" t="n">
        <v>771</v>
      </c>
      <c r="Y46" s="0" t="n">
        <v>1013.78</v>
      </c>
      <c r="Z46" s="0" t="n">
        <v>166.96</v>
      </c>
    </row>
    <row r="47">
      <c r="C47" s="1" t="n">
        <v>45790</v>
      </c>
      <c r="D47" s="1">
        <f>TEXT(C47,"aaa")</f>
        <v/>
      </c>
      <c r="E47" s="0" t="n">
        <v>100</v>
      </c>
      <c r="F47" s="0">
        <f>IF(E47=0,"",(E47-G47))</f>
        <v/>
      </c>
      <c r="H47" s="0" t="n">
        <v>25960</v>
      </c>
      <c r="I47" s="0" t="n">
        <v>13250</v>
      </c>
      <c r="J47" s="0">
        <f>IF(H47=0,"",(H47-I47))</f>
        <v/>
      </c>
      <c r="K47" s="0">
        <f>IF(E47=0,"",(J47/E47))</f>
        <v/>
      </c>
      <c r="L47" s="0" t="n">
        <v>86.5</v>
      </c>
      <c r="M47" s="0" t="n">
        <v>68.09999999999999</v>
      </c>
      <c r="O47" s="0" t="n">
        <v>49</v>
      </c>
      <c r="P47" s="0" t="n">
        <v>17</v>
      </c>
      <c r="Q47" s="0" t="n">
        <v>33</v>
      </c>
      <c r="R47" s="0" t="n">
        <v>1</v>
      </c>
      <c r="S47" s="0">
        <f>SUM(N47:O47)</f>
        <v/>
      </c>
      <c r="T47" s="48">
        <f>IF(S47=0,"",(S47/E47*100))</f>
        <v/>
      </c>
      <c r="U47" s="48">
        <f>P47/E47*100</f>
        <v/>
      </c>
      <c r="V47" s="48">
        <f>Q47/E47*100</f>
        <v/>
      </c>
      <c r="X47" s="0" t="n">
        <v>749</v>
      </c>
      <c r="Y47" s="0" t="n">
        <v>821.72</v>
      </c>
      <c r="Z47" s="0" t="n">
        <v>182.46</v>
      </c>
    </row>
    <row r="48">
      <c r="C48" s="1" t="n">
        <v>45791</v>
      </c>
      <c r="D48" s="1">
        <f>TEXT(C48,"aaa")</f>
        <v/>
      </c>
      <c r="F48" s="0">
        <f>IF(E48=0,"",(E48-G48))</f>
        <v/>
      </c>
      <c r="J48" s="0">
        <f>IF(H48=0,"",(H48-I48))</f>
        <v/>
      </c>
      <c r="K48" s="0">
        <f>IF(E48=0,"",(J48/E48))</f>
        <v/>
      </c>
      <c r="T48" s="48" t="n"/>
      <c r="U48" s="48" t="n"/>
      <c r="V48" s="48" t="n"/>
    </row>
    <row r="49">
      <c r="C49" s="1" t="n">
        <v>45792</v>
      </c>
      <c r="D49" s="1">
        <f>TEXT(C49,"aaa")</f>
        <v/>
      </c>
      <c r="E49" s="0" t="n">
        <v>100</v>
      </c>
      <c r="F49" s="0">
        <f>IF(E49=0,"",(E49-G49))</f>
        <v/>
      </c>
      <c r="H49" s="0" t="n">
        <v>26330</v>
      </c>
      <c r="I49" s="0" t="n">
        <v>13450</v>
      </c>
      <c r="J49" s="0">
        <f>IF(H49=0,"",(H49-I49))</f>
        <v/>
      </c>
      <c r="K49" s="0">
        <f>IF(E49=0,"",(J49/E49))</f>
        <v/>
      </c>
      <c r="L49" s="0" t="n">
        <v>87.8</v>
      </c>
      <c r="M49" s="0" t="n">
        <v>68.2</v>
      </c>
      <c r="O49" s="0" t="n">
        <v>50</v>
      </c>
      <c r="P49" s="0" t="n">
        <v>11</v>
      </c>
      <c r="Q49" s="0" t="n">
        <v>33</v>
      </c>
      <c r="R49" s="0" t="n">
        <v>6</v>
      </c>
      <c r="S49" s="0">
        <f>SUM(N49:O49)</f>
        <v/>
      </c>
      <c r="T49" s="48">
        <f>IF(S49=0,"",(S49/E49*100))</f>
        <v/>
      </c>
      <c r="U49" s="48">
        <f>P49/E49*100</f>
        <v/>
      </c>
      <c r="V49" s="48">
        <f>Q49/E49*100</f>
        <v/>
      </c>
      <c r="X49" s="0" t="n">
        <v>653</v>
      </c>
      <c r="Y49" s="0" t="n">
        <v>962.34</v>
      </c>
      <c r="Z49" s="0" t="n">
        <v>174.38</v>
      </c>
    </row>
    <row r="50">
      <c r="C50" s="1" t="n">
        <v>45793</v>
      </c>
      <c r="D50" s="1">
        <f>TEXT(C50,"aaa")</f>
        <v/>
      </c>
      <c r="F50" s="0">
        <f>IF(E50=0,"",(E50-G50))</f>
        <v/>
      </c>
      <c r="J50" s="0">
        <f>IF(H50=0,"",(H50-I50))</f>
        <v/>
      </c>
      <c r="K50" s="0">
        <f>IF(E50=0,"",(J50/E50))</f>
        <v/>
      </c>
      <c r="T50" s="48" t="n"/>
      <c r="U50" s="48" t="n"/>
      <c r="V50" s="48" t="n"/>
    </row>
    <row r="51">
      <c r="C51" s="1" t="n">
        <v>45794</v>
      </c>
      <c r="D51" s="1">
        <f>TEXT(C51,"aaa")</f>
        <v/>
      </c>
      <c r="F51" s="0">
        <f>IF(E51=0,"",(E51-G51))</f>
        <v/>
      </c>
      <c r="J51" s="0">
        <f>IF(H51=0,"",(H51-I51))</f>
        <v/>
      </c>
      <c r="K51" s="0">
        <f>IF(E51=0,"",(J51/E51))</f>
        <v/>
      </c>
      <c r="T51" s="48" t="n"/>
      <c r="U51" s="48" t="n"/>
      <c r="V51" s="48" t="n"/>
    </row>
    <row r="52">
      <c r="C52" s="1" t="n">
        <v>45795</v>
      </c>
      <c r="D52" s="1">
        <f>TEXT(C52,"aaa")</f>
        <v/>
      </c>
      <c r="E52" s="0" t="n">
        <v>100</v>
      </c>
      <c r="F52" s="0">
        <f>IF(E52=0,"",(E52-G52))</f>
        <v/>
      </c>
      <c r="H52" s="0" t="n">
        <v>26020</v>
      </c>
      <c r="I52" s="0" t="n">
        <v>13840</v>
      </c>
      <c r="J52" s="0">
        <f>IF(H52=0,"",(H52-I52))</f>
        <v/>
      </c>
      <c r="K52" s="0">
        <f>IF(E52=0,"",(J52/E52))</f>
        <v/>
      </c>
      <c r="L52" s="0" t="n">
        <v>82.59999999999999</v>
      </c>
      <c r="N52" s="0" t="n">
        <v>1</v>
      </c>
      <c r="O52" s="0" t="n">
        <v>73</v>
      </c>
      <c r="P52" s="0" t="n">
        <v>11</v>
      </c>
      <c r="Q52" s="0" t="n">
        <v>13</v>
      </c>
      <c r="S52" s="0">
        <f>SUM(N52:O52)</f>
        <v/>
      </c>
      <c r="T52" s="48">
        <f>IF(S52=0,"",(S52/E52*100))</f>
        <v/>
      </c>
      <c r="U52" s="48">
        <f>P52/E52*100</f>
        <v/>
      </c>
      <c r="V52" s="48">
        <f>Q52/E52*100</f>
        <v/>
      </c>
      <c r="X52" s="0" t="n">
        <v>693</v>
      </c>
      <c r="Y52" s="0" t="n">
        <v>951.34</v>
      </c>
      <c r="Z52" s="0" t="n">
        <v>176.82</v>
      </c>
    </row>
    <row r="53">
      <c r="C53" s="1" t="n">
        <v>45796</v>
      </c>
      <c r="D53" s="1">
        <f>TEXT(C53,"aaa")</f>
        <v/>
      </c>
      <c r="E53" s="0" t="n">
        <v>100</v>
      </c>
      <c r="F53" s="0">
        <f>IF(E53=0,"",(E53-G53))</f>
        <v/>
      </c>
      <c r="G53" s="0" t="n">
        <v>1</v>
      </c>
      <c r="H53" s="0" t="n">
        <v>26120</v>
      </c>
      <c r="I53" s="0" t="n">
        <v>13750</v>
      </c>
      <c r="J53" s="0">
        <f>IF(H53=0,"",(H53-I53))</f>
        <v/>
      </c>
      <c r="K53" s="0">
        <f>IF(E53=0,"",(J53/E53))</f>
        <v/>
      </c>
      <c r="L53" s="0" t="n">
        <v>83.59999999999999</v>
      </c>
      <c r="M53" s="0" t="n">
        <v>67.59999999999999</v>
      </c>
      <c r="N53" s="0" t="n">
        <v>1</v>
      </c>
      <c r="O53" s="0" t="n">
        <v>66</v>
      </c>
      <c r="P53" s="0" t="n">
        <v>13</v>
      </c>
      <c r="Q53" s="0" t="n">
        <v>18</v>
      </c>
      <c r="R53" s="0" t="n">
        <v>2</v>
      </c>
      <c r="S53" s="0">
        <f>SUM(N53:O53)</f>
        <v/>
      </c>
      <c r="T53" s="48">
        <f>IF(S53=0,"",(S53/E53*100))</f>
        <v/>
      </c>
      <c r="U53" s="48">
        <f>P53/E53*100</f>
        <v/>
      </c>
      <c r="V53" s="48">
        <f>Q53/E53*100</f>
        <v/>
      </c>
      <c r="X53" s="0" t="n">
        <v>686</v>
      </c>
      <c r="Y53" s="0" t="n">
        <v>810.58</v>
      </c>
      <c r="Z53" s="0" t="n">
        <v>184.4</v>
      </c>
    </row>
    <row r="54">
      <c r="C54" s="1" t="n">
        <v>45797</v>
      </c>
      <c r="D54" s="1">
        <f>TEXT(C54,"aaa")</f>
        <v/>
      </c>
      <c r="E54" s="0" t="n">
        <v>100</v>
      </c>
      <c r="F54" s="0">
        <f>IF(E54=0,"",(E54-G54))</f>
        <v/>
      </c>
      <c r="H54" s="0" t="n">
        <v>25650</v>
      </c>
      <c r="I54" s="0" t="n">
        <v>13320</v>
      </c>
      <c r="J54" s="0">
        <f>IF(H54=0,"",(H54-I54))</f>
        <v/>
      </c>
      <c r="K54" s="0">
        <f>IF(E54=0,"",(J54/E54))</f>
        <v/>
      </c>
      <c r="L54" s="0" t="n">
        <v>84.59999999999999</v>
      </c>
      <c r="M54" s="0" t="n">
        <v>68.59999999999999</v>
      </c>
      <c r="O54" s="0" t="n">
        <v>74</v>
      </c>
      <c r="P54" s="0" t="n">
        <v>10</v>
      </c>
      <c r="Q54" s="0" t="n">
        <v>16</v>
      </c>
      <c r="S54" s="0">
        <f>SUM(N54:O54)</f>
        <v/>
      </c>
      <c r="T54" s="48">
        <f>IF(S54=0,"",(S54/E54*100))</f>
        <v/>
      </c>
      <c r="U54" s="48">
        <f>P54/E54*100</f>
        <v/>
      </c>
      <c r="V54" s="48">
        <f>Q54/E54*100</f>
        <v/>
      </c>
      <c r="X54" s="0" t="n">
        <v>690</v>
      </c>
    </row>
    <row r="55">
      <c r="C55" s="1" t="n">
        <v>45797</v>
      </c>
      <c r="D55" s="1">
        <f>TEXT(C55,"aaa")</f>
        <v/>
      </c>
      <c r="E55" s="0" t="n">
        <v>100</v>
      </c>
      <c r="F55" s="0">
        <f>IF(E55=0,"",(E55-G55))</f>
        <v/>
      </c>
      <c r="H55" s="0" t="n">
        <v>25700</v>
      </c>
      <c r="I55" s="0" t="n">
        <v>13190</v>
      </c>
      <c r="J55" s="0">
        <f>IF(H55=0,"",(H55-I55))</f>
        <v/>
      </c>
      <c r="K55" s="0">
        <f>IF(E55=0,"",(J55/E55))</f>
        <v/>
      </c>
      <c r="L55" s="0" t="n">
        <v>85.09999999999999</v>
      </c>
      <c r="M55" s="0" t="n">
        <v>68</v>
      </c>
      <c r="O55" s="0" t="n">
        <v>74</v>
      </c>
      <c r="P55" s="0" t="n">
        <v>7</v>
      </c>
      <c r="Q55" s="0" t="n">
        <v>10</v>
      </c>
      <c r="R55" s="0" t="n">
        <v>9</v>
      </c>
      <c r="S55" s="0">
        <f>SUM(N55:O55)</f>
        <v/>
      </c>
      <c r="T55" s="48">
        <f>IF(S55=0,"",(S55/E55*100))</f>
        <v/>
      </c>
      <c r="U55" s="48">
        <f>P55/E55*100</f>
        <v/>
      </c>
      <c r="V55" s="48">
        <f>Q55/E55*100</f>
        <v/>
      </c>
      <c r="X55" s="0" t="n">
        <v>659</v>
      </c>
    </row>
    <row r="56">
      <c r="C56" s="1" t="n">
        <v>45799</v>
      </c>
      <c r="D56" s="1">
        <f>TEXT(C56,"aaa")</f>
        <v/>
      </c>
      <c r="F56" s="0">
        <f>IF(E56=0,"",(E56-G56))</f>
        <v/>
      </c>
      <c r="J56" s="0">
        <f>IF(H56=0,"",(H56-I56))</f>
        <v/>
      </c>
      <c r="K56" s="0">
        <f>IF(E56=0,"",(J56/E56))</f>
        <v/>
      </c>
      <c r="T56" s="48" t="n"/>
      <c r="U56" s="48" t="n"/>
      <c r="V56" s="48" t="n"/>
    </row>
    <row r="57">
      <c r="C57" s="1" t="n">
        <v>45800</v>
      </c>
      <c r="D57" s="1">
        <f>TEXT(C57,"aaa")</f>
        <v/>
      </c>
      <c r="F57" s="0">
        <f>IF(E57=0,"",(E57-G57))</f>
        <v/>
      </c>
      <c r="J57" s="0">
        <f>IF(H57=0,"",(H57-I57))</f>
        <v/>
      </c>
      <c r="K57" s="0">
        <f>IF(E57=0,"",(J57/E57))</f>
        <v/>
      </c>
      <c r="T57" s="48" t="n"/>
      <c r="U57" s="48" t="n"/>
      <c r="V57" s="48" t="n"/>
    </row>
    <row r="58">
      <c r="C58" s="1" t="n">
        <v>45801</v>
      </c>
      <c r="D58" s="1">
        <f>TEXT(C58,"aaa")</f>
        <v/>
      </c>
      <c r="F58" s="0">
        <f>IF(E58=0,"",(E58-G58))</f>
        <v/>
      </c>
      <c r="J58" s="0">
        <f>IF(H58=0,"",(H58-I58))</f>
        <v/>
      </c>
      <c r="K58" s="0">
        <f>IF(E58=0,"",(J58/E58))</f>
        <v/>
      </c>
      <c r="T58" s="48" t="n"/>
      <c r="U58" s="48" t="n"/>
      <c r="V58" s="48" t="n"/>
    </row>
    <row r="59">
      <c r="C59" s="1" t="n">
        <v>45802</v>
      </c>
      <c r="D59" s="1">
        <f>TEXT(C59,"aaa")</f>
        <v/>
      </c>
      <c r="F59" s="0">
        <f>IF(E59=0,"",(E59-G59))</f>
        <v/>
      </c>
      <c r="J59" s="0">
        <f>IF(H59=0,"",(H59-I59))</f>
        <v/>
      </c>
      <c r="K59" s="0">
        <f>IF(E59=0,"",(J59/E59))</f>
        <v/>
      </c>
      <c r="T59" s="48" t="n"/>
      <c r="U59" s="48" t="n"/>
      <c r="V59" s="48" t="n"/>
    </row>
    <row r="60">
      <c r="C60" s="1" t="n">
        <v>45803</v>
      </c>
      <c r="D60" s="1">
        <f>TEXT(C60,"aaa")</f>
        <v/>
      </c>
      <c r="F60" s="0">
        <f>IF(E60=0,"",(E60-G60))</f>
        <v/>
      </c>
      <c r="J60" s="0">
        <f>IF(H60=0,"",(H60-I60))</f>
        <v/>
      </c>
      <c r="K60" s="0">
        <f>IF(E60=0,"",(J60/E60))</f>
        <v/>
      </c>
      <c r="T60" s="48" t="n"/>
      <c r="U60" s="48" t="n"/>
      <c r="V60" s="48" t="n"/>
    </row>
    <row r="61">
      <c r="C61" s="1" t="n">
        <v>45804</v>
      </c>
      <c r="D61" s="1">
        <f>TEXT(C61,"aaa")</f>
        <v/>
      </c>
      <c r="F61" s="0">
        <f>IF(E61=0,"",(E61-G61))</f>
        <v/>
      </c>
      <c r="J61" s="0">
        <f>IF(H61=0,"",(H61-I61))</f>
        <v/>
      </c>
      <c r="K61" s="0">
        <f>IF(E61=0,"",(J61/E61))</f>
        <v/>
      </c>
      <c r="T61" s="48" t="n"/>
      <c r="U61" s="48" t="n"/>
      <c r="V61" s="48" t="n"/>
    </row>
    <row r="62">
      <c r="C62" s="1" t="n">
        <v>45805</v>
      </c>
      <c r="D62" s="1">
        <f>TEXT(C62,"aaa")</f>
        <v/>
      </c>
      <c r="F62" s="0">
        <f>IF(E62=0,"",(E62-G62))</f>
        <v/>
      </c>
      <c r="J62" s="0">
        <f>IF(H62=0,"",(H62-I62))</f>
        <v/>
      </c>
      <c r="K62" s="0">
        <f>IF(E62=0,"",(J62/E62))</f>
        <v/>
      </c>
      <c r="T62" s="48" t="n"/>
      <c r="U62" s="48" t="n"/>
      <c r="V62" s="48" t="n"/>
    </row>
    <row r="63">
      <c r="C63" s="1" t="n">
        <v>45806</v>
      </c>
      <c r="D63" s="1">
        <f>TEXT(C63,"aaa")</f>
        <v/>
      </c>
      <c r="F63" s="0">
        <f>IF(E63=0,"",(E63-G63))</f>
        <v/>
      </c>
      <c r="J63" s="0">
        <f>IF(H63=0,"",(H63-I63))</f>
        <v/>
      </c>
      <c r="K63" s="0">
        <f>IF(E63=0,"",(J63/E63))</f>
        <v/>
      </c>
      <c r="T63" s="48" t="n"/>
      <c r="U63" s="48" t="n"/>
      <c r="V63" s="48" t="n"/>
    </row>
    <row r="64">
      <c r="C64" s="1" t="n">
        <v>45807</v>
      </c>
      <c r="D64" s="1">
        <f>TEXT(C64,"aaa")</f>
        <v/>
      </c>
      <c r="F64" s="0">
        <f>IF(E64=0,"",(E64-G64))</f>
        <v/>
      </c>
      <c r="J64" s="0">
        <f>IF(H64=0,"",(H64-I64))</f>
        <v/>
      </c>
      <c r="K64" s="0">
        <f>IF(E64=0,"",(J64/E64))</f>
        <v/>
      </c>
      <c r="T64" s="48" t="n"/>
      <c r="U64" s="48" t="n"/>
      <c r="V64" s="48" t="n"/>
    </row>
    <row r="65" ht="18.6" customHeight="1" s="47" thickBot="1">
      <c r="A65" s="8" t="n"/>
      <c r="B65" s="8" t="n"/>
      <c r="C65" s="9" t="n">
        <v>45808</v>
      </c>
      <c r="D65" s="1">
        <f>TEXT(C65,"aaa")</f>
        <v/>
      </c>
      <c r="E65" s="8" t="n"/>
      <c r="F65" s="0">
        <f>IF(E65=0,"",(E65-G65))</f>
        <v/>
      </c>
      <c r="G65" s="8" t="n"/>
      <c r="H65" s="8" t="n"/>
      <c r="I65" s="8" t="n"/>
      <c r="J65" s="0">
        <f>IF(H65=0,"",(H65-I65))</f>
        <v/>
      </c>
      <c r="K65" s="0">
        <f>IF(E65=0,"",(J65/E65))</f>
        <v/>
      </c>
      <c r="L65" s="8" t="n"/>
      <c r="M65" s="8" t="n"/>
      <c r="N65" s="8" t="n"/>
      <c r="O65" s="8" t="n"/>
      <c r="P65" s="8" t="n"/>
      <c r="Q65" s="8" t="n"/>
      <c r="R65" s="8" t="n"/>
      <c r="T65" s="48" t="n"/>
      <c r="U65" s="48" t="n"/>
      <c r="V65" s="48" t="n"/>
      <c r="X65" s="8" t="n"/>
      <c r="Y65" s="8" t="n"/>
    </row>
    <row r="66">
      <c r="C66" s="1" t="n">
        <v>45809</v>
      </c>
      <c r="D66" s="1">
        <f>TEXT(C66,"aaa")</f>
        <v/>
      </c>
      <c r="F66" s="0">
        <f>IF(E66=0,"",(E66-G66))</f>
        <v/>
      </c>
      <c r="J66" s="0">
        <f>IF(H66=0,"",(H66-I66))</f>
        <v/>
      </c>
      <c r="K66" s="0">
        <f>IF(E66=0,"",(J66/E66))</f>
        <v/>
      </c>
    </row>
    <row r="67">
      <c r="C67" s="1" t="n">
        <v>45810</v>
      </c>
      <c r="D67" s="1">
        <f>TEXT(C67,"aaa")</f>
        <v/>
      </c>
      <c r="F67" s="0">
        <f>IF(E67=0,"",(E67-G67))</f>
        <v/>
      </c>
      <c r="J67" s="0">
        <f>IF(H67=0,"",(H67-I67))</f>
        <v/>
      </c>
      <c r="K67" s="0">
        <f>IF(E67=0,"",(J67/E67))</f>
        <v/>
      </c>
    </row>
    <row r="68">
      <c r="C68" s="1" t="n">
        <v>45811</v>
      </c>
      <c r="D68" s="1">
        <f>TEXT(C68,"aaa")</f>
        <v/>
      </c>
      <c r="F68" s="0">
        <f>IF(E68=0,"",(E68-G68))</f>
        <v/>
      </c>
      <c r="J68" s="0">
        <f>IF(H68=0,"",(H68-I68))</f>
        <v/>
      </c>
      <c r="K68" s="0">
        <f>IF(E68=0,"",(J68/E68))</f>
        <v/>
      </c>
    </row>
    <row r="69">
      <c r="C69" s="1" t="n">
        <v>45812</v>
      </c>
      <c r="D69" s="1">
        <f>TEXT(C69,"aaa")</f>
        <v/>
      </c>
      <c r="F69" s="0">
        <f>IF(E69=0,"",(E69-G69))</f>
        <v/>
      </c>
      <c r="J69" s="0">
        <f>IF(H69=0,"",(H69-I69))</f>
        <v/>
      </c>
      <c r="K69" s="0">
        <f>IF(E69=0,"",(J69/E69))</f>
        <v/>
      </c>
    </row>
    <row r="70">
      <c r="C70" s="1" t="n">
        <v>45813</v>
      </c>
      <c r="D70" s="1">
        <f>TEXT(C70,"aaa")</f>
        <v/>
      </c>
      <c r="F70" s="0">
        <f>IF(E70=0,"",(E70-G70))</f>
        <v/>
      </c>
      <c r="J70" s="0">
        <f>IF(H70=0,"",(H70-I70))</f>
        <v/>
      </c>
      <c r="K70" s="0">
        <f>IF(E70=0,"",(J70/E70))</f>
        <v/>
      </c>
    </row>
    <row r="71">
      <c r="C71" s="1" t="n">
        <v>45814</v>
      </c>
      <c r="D71" s="1">
        <f>TEXT(C71,"aaa")</f>
        <v/>
      </c>
      <c r="F71" s="0">
        <f>IF(E71=0,"",(E71-G71))</f>
        <v/>
      </c>
      <c r="J71" s="0">
        <f>IF(H71=0,"",(H71-I71))</f>
        <v/>
      </c>
      <c r="K71" s="0">
        <f>IF(E71=0,"",(J71/E71))</f>
        <v/>
      </c>
    </row>
    <row r="72">
      <c r="C72" s="1" t="n">
        <v>45815</v>
      </c>
      <c r="D72" s="1">
        <f>TEXT(C72,"aaa")</f>
        <v/>
      </c>
      <c r="F72" s="0">
        <f>IF(E72=0,"",(E72-G72))</f>
        <v/>
      </c>
      <c r="J72" s="0">
        <f>IF(H72=0,"",(H72-I72))</f>
        <v/>
      </c>
      <c r="K72" s="0">
        <f>IF(E72=0,"",(J72/E72))</f>
        <v/>
      </c>
    </row>
    <row r="73">
      <c r="C73" s="1" t="n">
        <v>45816</v>
      </c>
      <c r="D73" s="1">
        <f>TEXT(C73,"aaa")</f>
        <v/>
      </c>
      <c r="F73" s="0">
        <f>IF(E73=0,"",(E73-G73))</f>
        <v/>
      </c>
      <c r="J73" s="0">
        <f>IF(H73=0,"",(H73-I73))</f>
        <v/>
      </c>
      <c r="K73" s="0">
        <f>IF(E73=0,"",(J73/E73))</f>
        <v/>
      </c>
    </row>
    <row r="74">
      <c r="C74" s="1" t="n">
        <v>45817</v>
      </c>
      <c r="D74" s="1">
        <f>TEXT(C74,"aaa")</f>
        <v/>
      </c>
      <c r="F74" s="0">
        <f>IF(E74=0,"",(E74-G74))</f>
        <v/>
      </c>
      <c r="J74" s="0">
        <f>IF(H74=0,"",(H74-I74))</f>
        <v/>
      </c>
      <c r="K74" s="0">
        <f>IF(E74=0,"",(J74/E74))</f>
        <v/>
      </c>
    </row>
    <row r="75">
      <c r="C75" s="1" t="n">
        <v>45818</v>
      </c>
      <c r="D75" s="1">
        <f>TEXT(C75,"aaa")</f>
        <v/>
      </c>
      <c r="F75" s="0">
        <f>IF(E75=0,"",(E75-G75))</f>
        <v/>
      </c>
      <c r="J75" s="0">
        <f>IF(H75=0,"",(H75-I75))</f>
        <v/>
      </c>
      <c r="K75" s="0">
        <f>IF(E75=0,"",(J75/E75))</f>
        <v/>
      </c>
    </row>
    <row r="76">
      <c r="C76" s="1" t="n">
        <v>45819</v>
      </c>
      <c r="D76" s="1">
        <f>TEXT(C76,"aaa")</f>
        <v/>
      </c>
      <c r="F76" s="0">
        <f>IF(E76=0,"",(E76-G76))</f>
        <v/>
      </c>
      <c r="J76" s="0">
        <f>IF(H76=0,"",(H76-I76))</f>
        <v/>
      </c>
      <c r="K76" s="0">
        <f>IF(E76=0,"",(J76/E76))</f>
        <v/>
      </c>
      <c r="T76" s="5" t="n"/>
      <c r="U76" s="5" t="n"/>
      <c r="V76" s="5" t="n"/>
      <c r="W76" s="5" t="n"/>
    </row>
    <row r="77">
      <c r="C77" s="1" t="n">
        <v>45820</v>
      </c>
      <c r="D77" s="1">
        <f>TEXT(C77,"aaa")</f>
        <v/>
      </c>
      <c r="F77" s="0">
        <f>IF(E77=0,"",(E77-G77))</f>
        <v/>
      </c>
      <c r="J77" s="0">
        <f>IF(H77=0,"",(H77-I77))</f>
        <v/>
      </c>
      <c r="K77" s="0">
        <f>IF(E77=0,"",(J77/E77))</f>
        <v/>
      </c>
      <c r="T77" s="5" t="n"/>
      <c r="U77" s="5" t="n"/>
      <c r="V77" s="5" t="n"/>
      <c r="W77" s="5" t="n"/>
    </row>
    <row r="78">
      <c r="C78" s="1" t="n">
        <v>45821</v>
      </c>
      <c r="D78" s="1">
        <f>TEXT(C78,"aaa")</f>
        <v/>
      </c>
      <c r="F78" s="0">
        <f>IF(E78=0,"",(E78-G78))</f>
        <v/>
      </c>
      <c r="J78" s="0">
        <f>IF(H78=0,"",(H78-I78))</f>
        <v/>
      </c>
      <c r="K78" s="0">
        <f>IF(E78=0,"",(J78/E78))</f>
        <v/>
      </c>
    </row>
    <row r="79">
      <c r="C79" s="1" t="n">
        <v>45822</v>
      </c>
      <c r="D79" s="1">
        <f>TEXT(C79,"aaa")</f>
        <v/>
      </c>
      <c r="F79" s="0">
        <f>IF(E79=0,"",(E79-G79))</f>
        <v/>
      </c>
      <c r="J79" s="0">
        <f>IF(H79=0,"",(H79-I79))</f>
        <v/>
      </c>
      <c r="K79" s="0">
        <f>IF(E79=0,"",(J79/E79))</f>
        <v/>
      </c>
    </row>
    <row r="80">
      <c r="C80" s="1" t="n">
        <v>45823</v>
      </c>
      <c r="D80" s="1">
        <f>TEXT(C80,"aaa")</f>
        <v/>
      </c>
      <c r="F80" s="0">
        <f>IF(E80=0,"",(E80-G80))</f>
        <v/>
      </c>
      <c r="J80" s="0">
        <f>IF(H80=0,"",(H80-I80))</f>
        <v/>
      </c>
      <c r="K80" s="0">
        <f>IF(E80=0,"",(J80/E80))</f>
        <v/>
      </c>
    </row>
    <row r="81">
      <c r="C81" s="1" t="n">
        <v>45824</v>
      </c>
      <c r="D81" s="1">
        <f>TEXT(C81,"aaa")</f>
        <v/>
      </c>
      <c r="F81" s="0">
        <f>IF(E81=0,"",(E81-G81))</f>
        <v/>
      </c>
      <c r="J81" s="0">
        <f>IF(H81=0,"",(H81-I81))</f>
        <v/>
      </c>
      <c r="K81" s="0">
        <f>IF(E81=0,"",(J81/E81))</f>
        <v/>
      </c>
    </row>
    <row r="82">
      <c r="C82" s="1" t="n">
        <v>45825</v>
      </c>
      <c r="D82" s="1">
        <f>TEXT(C82,"aaa")</f>
        <v/>
      </c>
      <c r="F82" s="0">
        <f>IF(E82=0,"",(E82-G82))</f>
        <v/>
      </c>
      <c r="J82" s="0">
        <f>IF(H82=0,"",(H82-I82))</f>
        <v/>
      </c>
      <c r="K82" s="0">
        <f>IF(E82=0,"",(J82/E82))</f>
        <v/>
      </c>
    </row>
    <row r="83">
      <c r="C83" s="1" t="n">
        <v>45826</v>
      </c>
      <c r="D83" s="1">
        <f>TEXT(C83,"aaa")</f>
        <v/>
      </c>
      <c r="F83" s="0">
        <f>IF(E83=0,"",(E83-G83))</f>
        <v/>
      </c>
      <c r="J83" s="0">
        <f>IF(H83=0,"",(H83-I83))</f>
        <v/>
      </c>
      <c r="K83" s="0">
        <f>IF(E83=0,"",(J83/E83))</f>
        <v/>
      </c>
    </row>
    <row r="84">
      <c r="C84" s="1" t="n">
        <v>45827</v>
      </c>
      <c r="D84" s="1">
        <f>TEXT(C84,"aaa")</f>
        <v/>
      </c>
      <c r="F84" s="0">
        <f>IF(E84=0,"",(E84-G84))</f>
        <v/>
      </c>
      <c r="J84" s="0">
        <f>IF(H84=0,"",(H84-I84))</f>
        <v/>
      </c>
      <c r="K84" s="0">
        <f>IF(E84=0,"",(J84/E84))</f>
        <v/>
      </c>
    </row>
    <row r="85">
      <c r="C85" s="1" t="n">
        <v>45828</v>
      </c>
      <c r="D85" s="1">
        <f>TEXT(C85,"aaa")</f>
        <v/>
      </c>
      <c r="F85" s="0">
        <f>IF(E85=0,"",(E85-G85))</f>
        <v/>
      </c>
      <c r="J85" s="0">
        <f>IF(H85=0,"",(H85-I85))</f>
        <v/>
      </c>
      <c r="K85" s="0">
        <f>IF(E85=0,"",(J85/E85))</f>
        <v/>
      </c>
    </row>
    <row r="86">
      <c r="C86" s="1" t="n">
        <v>45829</v>
      </c>
      <c r="D86" s="1">
        <f>TEXT(C86,"aaa")</f>
        <v/>
      </c>
      <c r="F86" s="0">
        <f>IF(E86=0,"",(E86-G86))</f>
        <v/>
      </c>
      <c r="J86" s="0">
        <f>IF(H86=0,"",(H86-I86))</f>
        <v/>
      </c>
      <c r="K86" s="0">
        <f>IF(E86=0,"",(J86/E86))</f>
        <v/>
      </c>
    </row>
    <row r="87">
      <c r="C87" s="1" t="n">
        <v>45830</v>
      </c>
      <c r="D87" s="1">
        <f>TEXT(C87,"aaa")</f>
        <v/>
      </c>
      <c r="F87" s="0">
        <f>IF(E87=0,"",(E87-G87))</f>
        <v/>
      </c>
      <c r="J87" s="0">
        <f>IF(H87=0,"",(H87-I87))</f>
        <v/>
      </c>
      <c r="K87" s="0">
        <f>IF(E87=0,"",(J87/E87))</f>
        <v/>
      </c>
    </row>
    <row r="88">
      <c r="C88" s="1" t="n">
        <v>45831</v>
      </c>
      <c r="D88" s="1">
        <f>TEXT(C88,"aaa")</f>
        <v/>
      </c>
      <c r="F88" s="0">
        <f>IF(E88=0,"",(E88-G88))</f>
        <v/>
      </c>
      <c r="J88" s="0">
        <f>IF(H88=0,"",(H88-I88))</f>
        <v/>
      </c>
      <c r="K88" s="0">
        <f>IF(E88=0,"",(J88/E88))</f>
        <v/>
      </c>
    </row>
    <row r="89">
      <c r="C89" s="1" t="n">
        <v>45832</v>
      </c>
      <c r="D89" s="1">
        <f>TEXT(C89,"aaa")</f>
        <v/>
      </c>
      <c r="F89" s="0">
        <f>IF(E89=0,"",(E89-G89))</f>
        <v/>
      </c>
      <c r="J89" s="0">
        <f>IF(H89=0,"",(H89-I89))</f>
        <v/>
      </c>
      <c r="K89" s="0">
        <f>IF(E89=0,"",(J89/E89))</f>
        <v/>
      </c>
    </row>
    <row r="90">
      <c r="C90" s="1" t="n">
        <v>45833</v>
      </c>
      <c r="D90" s="1">
        <f>TEXT(C90,"aaa")</f>
        <v/>
      </c>
      <c r="F90" s="0">
        <f>IF(E90=0,"",(E90-G90))</f>
        <v/>
      </c>
      <c r="J90" s="0">
        <f>IF(H90=0,"",(H90-I90))</f>
        <v/>
      </c>
      <c r="K90" s="0">
        <f>IF(E90=0,"",(J90/E90))</f>
        <v/>
      </c>
    </row>
    <row r="91">
      <c r="C91" s="1" t="n">
        <v>45834</v>
      </c>
      <c r="D91" s="1">
        <f>TEXT(C91,"aaa")</f>
        <v/>
      </c>
      <c r="F91" s="0">
        <f>IF(E91=0,"",(E91-G91))</f>
        <v/>
      </c>
      <c r="J91" s="0">
        <f>IF(H91=0,"",(H91-I91))</f>
        <v/>
      </c>
      <c r="K91" s="0">
        <f>IF(E91=0,"",(J91/E91))</f>
        <v/>
      </c>
    </row>
    <row r="92">
      <c r="C92" s="1" t="n">
        <v>45835</v>
      </c>
      <c r="D92" s="1">
        <f>TEXT(C92,"aaa")</f>
        <v/>
      </c>
      <c r="F92" s="0">
        <f>IF(E92=0,"",(E92-G92))</f>
        <v/>
      </c>
      <c r="J92" s="0">
        <f>IF(H92=0,"",(H92-I92))</f>
        <v/>
      </c>
      <c r="K92" s="0">
        <f>IF(E92=0,"",(J92/E92))</f>
        <v/>
      </c>
    </row>
    <row r="93">
      <c r="C93" s="1" t="n">
        <v>45836</v>
      </c>
      <c r="D93" s="1">
        <f>TEXT(C93,"aaa")</f>
        <v/>
      </c>
      <c r="F93" s="0">
        <f>IF(E93=0,"",(E93-G93))</f>
        <v/>
      </c>
      <c r="J93" s="0">
        <f>IF(H93=0,"",(H93-I93))</f>
        <v/>
      </c>
      <c r="K93" s="0">
        <f>IF(E93=0,"",(J93/E93))</f>
        <v/>
      </c>
    </row>
    <row r="94">
      <c r="C94" s="1" t="n">
        <v>45837</v>
      </c>
      <c r="D94" s="1">
        <f>TEXT(C94,"aaa")</f>
        <v/>
      </c>
      <c r="F94" s="0">
        <f>IF(E94=0,"",(E94-G94))</f>
        <v/>
      </c>
      <c r="J94" s="0">
        <f>IF(H94=0,"",(H94-I94))</f>
        <v/>
      </c>
      <c r="K94" s="0">
        <f>IF(E94=0,"",(J94/E94))</f>
        <v/>
      </c>
    </row>
    <row r="95" ht="18.6" customHeight="1" s="47" thickBot="1">
      <c r="A95" s="8" t="n"/>
      <c r="B95" s="8" t="n"/>
      <c r="C95" s="9" t="n">
        <v>45838</v>
      </c>
      <c r="D95" s="1">
        <f>TEXT(C95,"aaa")</f>
        <v/>
      </c>
      <c r="E95" s="8" t="n"/>
      <c r="F95" s="0">
        <f>IF(E95=0,"",(E95-G95))</f>
        <v/>
      </c>
      <c r="G95" s="8" t="n"/>
      <c r="H95" s="8" t="n"/>
      <c r="I95" s="8" t="n"/>
      <c r="J95" s="0">
        <f>IF(H95=0,"",(H95-I95))</f>
        <v/>
      </c>
      <c r="K95" s="0">
        <f>IF(E95=0,"",(J95/E95))</f>
        <v/>
      </c>
      <c r="L95" s="8" t="n"/>
      <c r="M95" s="8" t="n"/>
      <c r="N95" s="8" t="n"/>
      <c r="O95" s="8" t="n"/>
      <c r="P95" s="8" t="n"/>
      <c r="Q95" s="8" t="n"/>
      <c r="R95" s="8" t="n"/>
      <c r="X95" s="8" t="n"/>
      <c r="Y95" s="8" t="n"/>
    </row>
    <row r="96">
      <c r="C96" s="1" t="n">
        <v>45839</v>
      </c>
      <c r="D96" s="1">
        <f>TEXT(C96,"aaa")</f>
        <v/>
      </c>
      <c r="F96" s="0">
        <f>IF(E96=0,"",(E96-G96))</f>
        <v/>
      </c>
      <c r="J96" s="0">
        <f>IF(H96=0,"",(H96-I96))</f>
        <v/>
      </c>
      <c r="K96" s="0">
        <f>IF(E96=0,"",(J96/E96))</f>
        <v/>
      </c>
    </row>
    <row r="97">
      <c r="C97" s="1" t="n">
        <v>45840</v>
      </c>
      <c r="D97" s="1">
        <f>TEXT(C97,"aaa")</f>
        <v/>
      </c>
      <c r="F97" s="0">
        <f>IF(E97=0,"",(E97-G97))</f>
        <v/>
      </c>
      <c r="J97" s="0">
        <f>IF(H97=0,"",(H97-I97))</f>
        <v/>
      </c>
      <c r="K97" s="0">
        <f>IF(E97=0,"",(J97/E97))</f>
        <v/>
      </c>
      <c r="T97" s="48" t="n"/>
      <c r="U97" s="48" t="n"/>
      <c r="V97" s="48" t="n"/>
      <c r="W97" s="48" t="n"/>
    </row>
    <row r="98">
      <c r="C98" s="1" t="n">
        <v>45841</v>
      </c>
      <c r="D98" s="1">
        <f>TEXT(C98,"aaa")</f>
        <v/>
      </c>
      <c r="F98" s="0">
        <f>IF(E98=0,"",(E98-G98))</f>
        <v/>
      </c>
      <c r="J98" s="0">
        <f>IF(H98=0,"",(H98-I98))</f>
        <v/>
      </c>
      <c r="K98" s="0">
        <f>IF(E98=0,"",(J98/E98))</f>
        <v/>
      </c>
      <c r="T98" s="48" t="n"/>
      <c r="U98" s="48" t="n"/>
      <c r="V98" s="48" t="n"/>
      <c r="W98" s="48" t="n"/>
    </row>
    <row r="99">
      <c r="C99" s="1" t="n">
        <v>45842</v>
      </c>
      <c r="D99" s="1">
        <f>TEXT(C99,"aaa")</f>
        <v/>
      </c>
      <c r="F99" s="0">
        <f>IF(E99=0,"",(E99-G99))</f>
        <v/>
      </c>
      <c r="J99" s="0">
        <f>IF(H99=0,"",(H99-I99))</f>
        <v/>
      </c>
      <c r="K99" s="0">
        <f>IF(E99=0,"",(J99/E99))</f>
        <v/>
      </c>
    </row>
    <row r="100">
      <c r="C100" s="1" t="n">
        <v>45843</v>
      </c>
      <c r="D100" s="1">
        <f>TEXT(C100,"aaa")</f>
        <v/>
      </c>
      <c r="F100" s="0">
        <f>IF(E100=0,"",(E100-G100))</f>
        <v/>
      </c>
      <c r="J100" s="0">
        <f>IF(H100=0,"",(H100-I100))</f>
        <v/>
      </c>
      <c r="K100" s="0">
        <f>IF(E100=0,"",(J100/E100))</f>
        <v/>
      </c>
    </row>
    <row r="101">
      <c r="C101" s="1" t="n">
        <v>45844</v>
      </c>
      <c r="D101" s="1">
        <f>TEXT(C101,"aaa")</f>
        <v/>
      </c>
      <c r="F101" s="0">
        <f>IF(E101=0,"",(E101-G101))</f>
        <v/>
      </c>
      <c r="J101" s="0">
        <f>IF(H101=0,"",(H101-I101))</f>
        <v/>
      </c>
      <c r="K101" s="0">
        <f>IF(E101=0,"",(J101/E101))</f>
        <v/>
      </c>
    </row>
    <row r="102">
      <c r="C102" s="1" t="n">
        <v>45845</v>
      </c>
      <c r="D102" s="1">
        <f>TEXT(C102,"aaa")</f>
        <v/>
      </c>
      <c r="F102" s="0">
        <f>IF(E102=0,"",(E102-G102))</f>
        <v/>
      </c>
      <c r="J102" s="0">
        <f>IF(H102=0,"",(H102-I102))</f>
        <v/>
      </c>
      <c r="K102" s="0">
        <f>IF(E102=0,"",(J102/E102))</f>
        <v/>
      </c>
    </row>
    <row r="103">
      <c r="A103" s="3" t="n"/>
      <c r="C103" s="1" t="n">
        <v>45846</v>
      </c>
      <c r="D103" s="1">
        <f>TEXT(C103,"aaa")</f>
        <v/>
      </c>
      <c r="F103" s="0">
        <f>IF(E103=0,"",(E103-G103))</f>
        <v/>
      </c>
      <c r="J103" s="0">
        <f>IF(H103=0,"",(H103-I103))</f>
        <v/>
      </c>
      <c r="K103" s="0">
        <f>IF(E103=0,"",(J103/E103))</f>
        <v/>
      </c>
    </row>
    <row r="104">
      <c r="A104" s="3" t="n"/>
      <c r="C104" s="1" t="n">
        <v>45847</v>
      </c>
      <c r="D104" s="1">
        <f>TEXT(C104,"aaa")</f>
        <v/>
      </c>
      <c r="F104" s="0">
        <f>IF(E104=0,"",(E104-G104))</f>
        <v/>
      </c>
      <c r="J104" s="0">
        <f>IF(H104=0,"",(H104-I104))</f>
        <v/>
      </c>
      <c r="K104" s="0">
        <f>IF(E104=0,"",(J104/E104))</f>
        <v/>
      </c>
    </row>
    <row r="105">
      <c r="C105" s="1" t="n">
        <v>45848</v>
      </c>
      <c r="D105" s="1">
        <f>TEXT(C105,"aaa")</f>
        <v/>
      </c>
      <c r="F105" s="0">
        <f>IF(E105=0,"",(E105-G105))</f>
        <v/>
      </c>
      <c r="J105" s="0">
        <f>IF(H105=0,"",(H105-I105))</f>
        <v/>
      </c>
      <c r="K105" s="0">
        <f>IF(E105=0,"",(J105/E105))</f>
        <v/>
      </c>
    </row>
    <row r="106">
      <c r="C106" s="1" t="n">
        <v>45849</v>
      </c>
      <c r="D106" s="1">
        <f>TEXT(C106,"aaa")</f>
        <v/>
      </c>
      <c r="F106" s="0">
        <f>IF(E106=0,"",(E106-G106))</f>
        <v/>
      </c>
      <c r="J106" s="0">
        <f>IF(H106=0,"",(H106-I106))</f>
        <v/>
      </c>
      <c r="K106" s="0">
        <f>IF(E106=0,"",(J106/E106))</f>
        <v/>
      </c>
    </row>
    <row r="107">
      <c r="C107" s="1" t="n">
        <v>45850</v>
      </c>
      <c r="D107" s="1">
        <f>TEXT(C107,"aaa")</f>
        <v/>
      </c>
      <c r="F107" s="0">
        <f>IF(E107=0,"",(E107-G107))</f>
        <v/>
      </c>
      <c r="J107" s="0">
        <f>IF(H107=0,"",(H107-I107))</f>
        <v/>
      </c>
      <c r="K107" s="0">
        <f>IF(E107=0,"",(J107/E107))</f>
        <v/>
      </c>
    </row>
    <row r="108">
      <c r="C108" s="1" t="n">
        <v>45851</v>
      </c>
      <c r="D108" s="1">
        <f>TEXT(C108,"aaa")</f>
        <v/>
      </c>
      <c r="F108" s="0">
        <f>IF(E108=0,"",(E108-G108))</f>
        <v/>
      </c>
      <c r="J108" s="0">
        <f>IF(H108=0,"",(H108-I108))</f>
        <v/>
      </c>
      <c r="K108" s="0">
        <f>IF(E108=0,"",(J108/E108))</f>
        <v/>
      </c>
    </row>
    <row r="109">
      <c r="C109" s="1" t="n">
        <v>45852</v>
      </c>
      <c r="D109" s="1">
        <f>TEXT(C109,"aaa")</f>
        <v/>
      </c>
      <c r="F109" s="0">
        <f>IF(E109=0,"",(E109-G109))</f>
        <v/>
      </c>
      <c r="J109" s="0">
        <f>IF(H109=0,"",(H109-I109))</f>
        <v/>
      </c>
      <c r="K109" s="0">
        <f>IF(E109=0,"",(J109/E109))</f>
        <v/>
      </c>
    </row>
    <row r="110">
      <c r="A110" s="3" t="n"/>
      <c r="C110" s="1" t="n">
        <v>45853</v>
      </c>
      <c r="D110" s="1">
        <f>TEXT(C110,"aaa")</f>
        <v/>
      </c>
      <c r="F110" s="0">
        <f>IF(E110=0,"",(E110-G110))</f>
        <v/>
      </c>
      <c r="J110" s="0">
        <f>IF(H110=0,"",(H110-I110))</f>
        <v/>
      </c>
      <c r="K110" s="0">
        <f>IF(E110=0,"",(J110/E110))</f>
        <v/>
      </c>
    </row>
    <row r="111">
      <c r="A111" s="3" t="n"/>
      <c r="C111" s="1" t="n">
        <v>45854</v>
      </c>
      <c r="D111" s="1">
        <f>TEXT(C111,"aaa")</f>
        <v/>
      </c>
      <c r="F111" s="0">
        <f>IF(E111=0,"",(E111-G111))</f>
        <v/>
      </c>
      <c r="J111" s="0">
        <f>IF(H111=0,"",(H111-I111))</f>
        <v/>
      </c>
      <c r="K111" s="0">
        <f>IF(E111=0,"",(J111/E111))</f>
        <v/>
      </c>
    </row>
    <row r="112">
      <c r="C112" s="1" t="n">
        <v>45855</v>
      </c>
      <c r="D112" s="1">
        <f>TEXT(C112,"aaa")</f>
        <v/>
      </c>
      <c r="F112" s="0">
        <f>IF(E112=0,"",(E112-G112))</f>
        <v/>
      </c>
      <c r="J112" s="0">
        <f>IF(H112=0,"",(H112-I112))</f>
        <v/>
      </c>
      <c r="K112" s="0">
        <f>IF(E112=0,"",(J112/E112))</f>
        <v/>
      </c>
    </row>
    <row r="113">
      <c r="C113" s="1" t="n">
        <v>45856</v>
      </c>
      <c r="D113" s="1">
        <f>TEXT(C113,"aaa")</f>
        <v/>
      </c>
      <c r="F113" s="0">
        <f>IF(E113=0,"",(E113-G113))</f>
        <v/>
      </c>
      <c r="J113" s="0">
        <f>IF(H113=0,"",(H113-I113))</f>
        <v/>
      </c>
      <c r="K113" s="0">
        <f>IF(E113=0,"",(J113/E113))</f>
        <v/>
      </c>
    </row>
    <row r="114">
      <c r="C114" s="1" t="n">
        <v>45857</v>
      </c>
      <c r="D114" s="1">
        <f>TEXT(C114,"aaa")</f>
        <v/>
      </c>
      <c r="F114" s="0">
        <f>IF(E114=0,"",(E114-G114))</f>
        <v/>
      </c>
      <c r="J114" s="0">
        <f>IF(H114=0,"",(H114-I114))</f>
        <v/>
      </c>
      <c r="K114" s="0">
        <f>IF(E114=0,"",(J114/E114))</f>
        <v/>
      </c>
    </row>
    <row r="115">
      <c r="C115" s="1" t="n">
        <v>45858</v>
      </c>
      <c r="D115" s="1">
        <f>TEXT(C115,"aaa")</f>
        <v/>
      </c>
      <c r="F115" s="0">
        <f>IF(E115=0,"",(E115-G115))</f>
        <v/>
      </c>
      <c r="J115" s="0">
        <f>IF(H115=0,"",(H115-I115))</f>
        <v/>
      </c>
      <c r="K115" s="0">
        <f>IF(E115=0,"",(J115/E115))</f>
        <v/>
      </c>
    </row>
    <row r="116">
      <c r="C116" s="1" t="n">
        <v>45859</v>
      </c>
      <c r="D116" s="1">
        <f>TEXT(C116,"aaa")</f>
        <v/>
      </c>
      <c r="F116" s="0">
        <f>IF(E116=0,"",(E116-G116))</f>
        <v/>
      </c>
      <c r="J116" s="0">
        <f>IF(H116=0,"",(H116-I116))</f>
        <v/>
      </c>
      <c r="K116" s="0">
        <f>IF(E116=0,"",(J116/E116))</f>
        <v/>
      </c>
    </row>
    <row r="117">
      <c r="C117" s="1" t="n">
        <v>45860</v>
      </c>
      <c r="D117" s="1">
        <f>TEXT(C117,"aaa")</f>
        <v/>
      </c>
      <c r="F117" s="0">
        <f>IF(E117=0,"",(E117-G117))</f>
        <v/>
      </c>
      <c r="J117" s="0">
        <f>IF(H117=0,"",(H117-I117))</f>
        <v/>
      </c>
      <c r="K117" s="0">
        <f>IF(E117=0,"",(J117/E117))</f>
        <v/>
      </c>
      <c r="T117" s="48" t="n"/>
      <c r="U117" s="48" t="n"/>
      <c r="V117" s="48" t="n"/>
      <c r="W117" s="48" t="n"/>
    </row>
    <row r="118">
      <c r="C118" s="1" t="n">
        <v>45861</v>
      </c>
      <c r="D118" s="1">
        <f>TEXT(C118,"aaa")</f>
        <v/>
      </c>
      <c r="F118" s="0">
        <f>IF(E118=0,"",(E118-G118))</f>
        <v/>
      </c>
      <c r="J118" s="0">
        <f>IF(H118=0,"",(H118-I118))</f>
        <v/>
      </c>
      <c r="K118" s="0">
        <f>IF(E118=0,"",(J118/E118))</f>
        <v/>
      </c>
      <c r="T118" s="48" t="n"/>
      <c r="U118" s="48" t="n"/>
      <c r="V118" s="48" t="n"/>
      <c r="W118" s="48" t="n"/>
    </row>
    <row r="119">
      <c r="C119" s="1" t="n">
        <v>45862</v>
      </c>
      <c r="D119" s="1">
        <f>TEXT(C119,"aaa")</f>
        <v/>
      </c>
      <c r="F119" s="0">
        <f>IF(E119=0,"",(E119-G119))</f>
        <v/>
      </c>
      <c r="J119" s="0">
        <f>IF(H119=0,"",(H119-I119))</f>
        <v/>
      </c>
      <c r="K119" s="0">
        <f>IF(E119=0,"",(J119/E119))</f>
        <v/>
      </c>
      <c r="T119" s="48" t="n"/>
      <c r="U119" s="48" t="n"/>
      <c r="V119" s="48" t="n"/>
      <c r="W119" s="48" t="n"/>
    </row>
    <row r="120">
      <c r="C120" s="1" t="n">
        <v>45862</v>
      </c>
      <c r="D120" s="1">
        <f>TEXT(C120,"aaa")</f>
        <v/>
      </c>
      <c r="F120" s="0">
        <f>IF(E120=0,"",(E120-G120))</f>
        <v/>
      </c>
      <c r="J120" s="0">
        <f>IF(H120=0,"",(H120-I120))</f>
        <v/>
      </c>
      <c r="K120" s="0">
        <f>IF(E120=0,"",(J120/E120))</f>
        <v/>
      </c>
      <c r="T120" s="48" t="n"/>
      <c r="U120" s="48" t="n"/>
      <c r="V120" s="48" t="n"/>
      <c r="W120" s="48" t="n"/>
    </row>
    <row r="121">
      <c r="C121" s="1" t="n">
        <v>45863</v>
      </c>
      <c r="D121" s="1">
        <f>TEXT(C121,"aaa")</f>
        <v/>
      </c>
      <c r="F121" s="0">
        <f>IF(E121=0,"",(E121-G121))</f>
        <v/>
      </c>
      <c r="J121" s="0">
        <f>IF(H121=0,"",(H121-I121))</f>
        <v/>
      </c>
      <c r="K121" s="0">
        <f>IF(E121=0,"",(J121/E121))</f>
        <v/>
      </c>
      <c r="T121" s="48" t="n"/>
      <c r="U121" s="48" t="n"/>
      <c r="V121" s="48" t="n"/>
      <c r="W121" s="48" t="n"/>
    </row>
    <row r="122">
      <c r="C122" s="1" t="n">
        <v>45865</v>
      </c>
      <c r="D122" s="1">
        <f>TEXT(C122,"aaa")</f>
        <v/>
      </c>
      <c r="F122" s="0">
        <f>IF(E122=0,"",(E122-G122))</f>
        <v/>
      </c>
      <c r="J122" s="0">
        <f>IF(H122=0,"",(H122-I122))</f>
        <v/>
      </c>
      <c r="K122" s="0">
        <f>IF(E122=0,"",(J122/E122))</f>
        <v/>
      </c>
      <c r="T122" s="48" t="n"/>
      <c r="U122" s="48" t="n"/>
      <c r="V122" s="48" t="n"/>
      <c r="W122" s="48" t="n"/>
    </row>
    <row r="123">
      <c r="C123" s="1" t="n">
        <v>45866</v>
      </c>
      <c r="D123" s="1">
        <f>TEXT(C123,"aaa")</f>
        <v/>
      </c>
      <c r="F123" s="0">
        <f>IF(E123=0,"",(E123-G123))</f>
        <v/>
      </c>
      <c r="J123" s="0">
        <f>IF(H123=0,"",(H123-I123))</f>
        <v/>
      </c>
      <c r="K123" s="0">
        <f>IF(E123=0,"",(J123/E123))</f>
        <v/>
      </c>
      <c r="T123" s="48" t="n"/>
      <c r="U123" s="48" t="n"/>
      <c r="V123" s="48" t="n"/>
      <c r="W123" s="48" t="n"/>
    </row>
    <row r="124">
      <c r="C124" s="1" t="n">
        <v>45867</v>
      </c>
      <c r="D124" s="1">
        <f>TEXT(C124,"aaa")</f>
        <v/>
      </c>
      <c r="F124" s="0">
        <f>IF(E124=0,"",(E124-G124))</f>
        <v/>
      </c>
      <c r="J124" s="0">
        <f>IF(H124=0,"",(H124-I124))</f>
        <v/>
      </c>
      <c r="K124" s="0">
        <f>IF(E124=0,"",(J124/E124))</f>
        <v/>
      </c>
      <c r="T124" s="48" t="n"/>
      <c r="U124" s="48" t="n"/>
      <c r="V124" s="48" t="n"/>
      <c r="W124" s="48" t="n"/>
    </row>
    <row r="125">
      <c r="C125" s="1" t="n">
        <v>45868</v>
      </c>
      <c r="D125" s="1">
        <f>TEXT(C125,"aaa")</f>
        <v/>
      </c>
      <c r="F125" s="0">
        <f>IF(E125=0,"",(E125-G125))</f>
        <v/>
      </c>
      <c r="J125" s="0">
        <f>IF(H125=0,"",(H125-I125))</f>
        <v/>
      </c>
      <c r="K125" s="0">
        <f>IF(E125=0,"",(J125/E125))</f>
        <v/>
      </c>
      <c r="T125" s="48" t="n"/>
      <c r="V125" s="48" t="n"/>
      <c r="W125" s="48" t="n"/>
    </row>
    <row r="126" ht="18.6" customHeight="1" s="47" thickBot="1">
      <c r="A126" s="8" t="n"/>
      <c r="B126" s="8" t="n"/>
      <c r="C126" s="9" t="n">
        <v>45869</v>
      </c>
      <c r="D126" s="1">
        <f>TEXT(C126,"aaa")</f>
        <v/>
      </c>
      <c r="E126" s="8" t="n"/>
      <c r="F126" s="0">
        <f>IF(E126=0,"",(E126-G126))</f>
        <v/>
      </c>
      <c r="G126" s="8" t="n"/>
      <c r="H126" s="8" t="n"/>
      <c r="I126" s="8" t="n"/>
      <c r="J126" s="0">
        <f>IF(H126=0,"",(H126-I126))</f>
        <v/>
      </c>
      <c r="K126" s="0">
        <f>IF(E126=0,"",(J126/E126))</f>
        <v/>
      </c>
      <c r="L126" s="8" t="n"/>
      <c r="M126" s="8" t="n"/>
      <c r="N126" s="8" t="n"/>
      <c r="O126" s="8" t="n"/>
      <c r="P126" s="8" t="n"/>
      <c r="Q126" s="8" t="n"/>
      <c r="R126" s="8" t="n"/>
      <c r="T126" s="48" t="n"/>
      <c r="V126" s="48" t="n"/>
      <c r="W126" s="48" t="n"/>
      <c r="X126" s="8" t="n"/>
      <c r="Y126" s="8" t="n"/>
    </row>
    <row r="127">
      <c r="C127" s="1" t="n">
        <v>45870</v>
      </c>
      <c r="D127" s="1">
        <f>TEXT(C127,"aaa")</f>
        <v/>
      </c>
      <c r="F127" s="0">
        <f>IF(E127=0,"",(E127-G127))</f>
        <v/>
      </c>
      <c r="J127" s="0">
        <f>IF(H127=0,"",(H127-I127))</f>
        <v/>
      </c>
      <c r="K127" s="0">
        <f>IF(E127=0,"",(J127/E127))</f>
        <v/>
      </c>
      <c r="T127" s="48" t="n"/>
      <c r="V127" s="48" t="n"/>
      <c r="W127" s="48" t="n"/>
    </row>
    <row r="128">
      <c r="C128" s="1" t="n">
        <v>45870</v>
      </c>
      <c r="D128" s="1">
        <f>TEXT(C128,"aaa")</f>
        <v/>
      </c>
      <c r="F128" s="0">
        <f>IF(E128=0,"",(E128-G128))</f>
        <v/>
      </c>
      <c r="J128" s="0">
        <f>IF(H128=0,"",(H128-I128))</f>
        <v/>
      </c>
      <c r="K128" s="0">
        <f>IF(E128=0,"",(J128/E128))</f>
        <v/>
      </c>
      <c r="T128" s="48" t="n"/>
      <c r="U128" s="48" t="n"/>
      <c r="V128" s="48" t="n"/>
      <c r="W128" s="48" t="n"/>
    </row>
    <row r="129">
      <c r="C129" s="1" t="n">
        <v>45872</v>
      </c>
      <c r="D129" s="1">
        <f>TEXT(C129,"aaa")</f>
        <v/>
      </c>
      <c r="F129" s="0">
        <f>IF(E129=0,"",(E129-G129))</f>
        <v/>
      </c>
      <c r="J129" s="0">
        <f>IF(H129=0,"",(H129-I129))</f>
        <v/>
      </c>
      <c r="K129" s="0">
        <f>IF(E129=0,"",(J129/E129))</f>
        <v/>
      </c>
      <c r="T129" s="48" t="n"/>
      <c r="V129" s="48" t="n"/>
      <c r="W129" s="48" t="n"/>
    </row>
    <row r="130">
      <c r="C130" s="1" t="n">
        <v>45873</v>
      </c>
      <c r="D130" s="1">
        <f>TEXT(C130,"aaa")</f>
        <v/>
      </c>
      <c r="F130" s="0">
        <f>IF(E130=0,"",(E130-G130))</f>
        <v/>
      </c>
      <c r="J130" s="0">
        <f>IF(H130=0,"",(H130-I130))</f>
        <v/>
      </c>
      <c r="K130" s="0">
        <f>IF(E130=0,"",(J130/E130))</f>
        <v/>
      </c>
      <c r="T130" s="48" t="n"/>
      <c r="V130" s="48" t="n"/>
      <c r="W130" s="48" t="n"/>
    </row>
    <row r="131">
      <c r="C131" s="1" t="n">
        <v>45874</v>
      </c>
      <c r="D131" s="1">
        <f>TEXT(C131,"aaa")</f>
        <v/>
      </c>
      <c r="F131" s="0">
        <f>IF(E131=0,"",(E131-G131))</f>
        <v/>
      </c>
      <c r="J131" s="0">
        <f>IF(H131=0,"",(H131-I131))</f>
        <v/>
      </c>
      <c r="K131" s="0">
        <f>IF(E131=0,"",(J131/E131))</f>
        <v/>
      </c>
      <c r="T131" s="48" t="n"/>
      <c r="U131" s="48" t="n"/>
      <c r="V131" s="48" t="n"/>
      <c r="W131" s="48" t="n"/>
    </row>
    <row r="132">
      <c r="C132" s="1" t="n">
        <v>45874</v>
      </c>
      <c r="D132" s="1">
        <f>TEXT(C132,"aaa")</f>
        <v/>
      </c>
      <c r="F132" s="0">
        <f>IF(E132=0,"",(E132-G132))</f>
        <v/>
      </c>
      <c r="J132" s="0">
        <f>IF(H132=0,"",(H132-I132))</f>
        <v/>
      </c>
      <c r="K132" s="0">
        <f>IF(E132=0,"",(J132/E132))</f>
        <v/>
      </c>
      <c r="T132" s="48" t="n"/>
      <c r="V132" s="48" t="n"/>
      <c r="W132" s="48" t="n"/>
    </row>
    <row r="133">
      <c r="C133" s="1" t="n">
        <v>45875</v>
      </c>
      <c r="D133" s="1">
        <f>TEXT(C133,"aaa")</f>
        <v/>
      </c>
      <c r="F133" s="0">
        <f>IF(E133=0,"",(E133-G133))</f>
        <v/>
      </c>
      <c r="J133" s="0">
        <f>IF(H133=0,"",(H133-I133))</f>
        <v/>
      </c>
      <c r="K133" s="0">
        <f>IF(E133=0,"",(J133/E133))</f>
        <v/>
      </c>
      <c r="T133" s="48" t="n"/>
      <c r="V133" s="48" t="n"/>
      <c r="W133" s="48" t="n"/>
    </row>
    <row r="134">
      <c r="C134" s="1" t="n">
        <v>45876</v>
      </c>
      <c r="D134" s="1">
        <f>TEXT(C134,"aaa")</f>
        <v/>
      </c>
      <c r="F134" s="0">
        <f>IF(E134=0,"",(E134-G134))</f>
        <v/>
      </c>
      <c r="J134" s="0">
        <f>IF(H134=0,"",(H134-I134))</f>
        <v/>
      </c>
      <c r="K134" s="0">
        <f>IF(E134=0,"",(J134/E134))</f>
        <v/>
      </c>
      <c r="T134" s="48" t="n"/>
      <c r="V134" s="48" t="n"/>
      <c r="W134" s="48" t="n"/>
    </row>
    <row r="135">
      <c r="C135" s="1" t="n">
        <v>45878</v>
      </c>
      <c r="D135" s="1">
        <f>TEXT(C135,"aaa")</f>
        <v/>
      </c>
      <c r="F135" s="0">
        <f>IF(E135=0,"",(E135-G135))</f>
        <v/>
      </c>
      <c r="J135" s="0">
        <f>IF(H135=0,"",(H135-I135))</f>
        <v/>
      </c>
      <c r="K135" s="0">
        <f>IF(E135=0,"",(J135/E135))</f>
        <v/>
      </c>
      <c r="T135" s="48" t="n"/>
      <c r="V135" s="48" t="n"/>
      <c r="W135" s="48" t="n"/>
    </row>
    <row r="136">
      <c r="C136" s="1" t="n">
        <v>45879</v>
      </c>
      <c r="D136" s="1">
        <f>TEXT(C136,"aaa")</f>
        <v/>
      </c>
      <c r="F136" s="0">
        <f>IF(E136=0,"",(E136-G136))</f>
        <v/>
      </c>
      <c r="J136" s="0">
        <f>IF(H136=0,"",(H136-I136))</f>
        <v/>
      </c>
      <c r="K136" s="0">
        <f>IF(E136=0,"",(J136/E136))</f>
        <v/>
      </c>
      <c r="T136" s="48" t="n"/>
      <c r="V136" s="48" t="n"/>
      <c r="W136" s="48" t="n"/>
    </row>
    <row r="137">
      <c r="C137" s="1" t="n">
        <v>45880</v>
      </c>
      <c r="D137" s="1">
        <f>TEXT(C137,"aaa")</f>
        <v/>
      </c>
      <c r="F137" s="0">
        <f>IF(E137=0,"",(E137-G137))</f>
        <v/>
      </c>
      <c r="J137" s="0">
        <f>IF(H137=0,"",(H137-I137))</f>
        <v/>
      </c>
      <c r="K137" s="0">
        <f>IF(E137=0,"",(J137/E137))</f>
        <v/>
      </c>
      <c r="T137" s="48" t="n"/>
      <c r="V137" s="48" t="n"/>
      <c r="W137" s="48" t="n"/>
    </row>
    <row r="138">
      <c r="C138" s="1" t="n">
        <v>45881</v>
      </c>
      <c r="D138" s="1">
        <f>TEXT(C138,"aaa")</f>
        <v/>
      </c>
      <c r="F138" s="0">
        <f>IF(E138=0,"",(E138-G138))</f>
        <v/>
      </c>
      <c r="J138" s="0">
        <f>IF(H138=0,"",(H138-I138))</f>
        <v/>
      </c>
      <c r="K138" s="0">
        <f>IF(E138=0,"",(J138/E138))</f>
        <v/>
      </c>
      <c r="T138" s="48" t="n"/>
      <c r="V138" s="48" t="n"/>
      <c r="W138" s="48" t="n"/>
    </row>
    <row r="139">
      <c r="C139" s="1" t="n">
        <v>45881</v>
      </c>
      <c r="D139" s="1">
        <f>TEXT(C139,"aaa")</f>
        <v/>
      </c>
      <c r="F139" s="0">
        <f>IF(E139=0,"",(E139-G139))</f>
        <v/>
      </c>
      <c r="J139" s="0">
        <f>IF(H139=0,"",(H139-I139))</f>
        <v/>
      </c>
      <c r="K139" s="0">
        <f>IF(E139=0,"",(J139/E139))</f>
        <v/>
      </c>
      <c r="T139" s="48" t="n"/>
      <c r="V139" s="48" t="n"/>
      <c r="W139" s="48" t="n"/>
    </row>
    <row r="140">
      <c r="C140" s="1" t="n">
        <v>45881</v>
      </c>
      <c r="D140" s="1">
        <f>TEXT(C140,"aaa")</f>
        <v/>
      </c>
      <c r="F140" s="0">
        <f>IF(E140=0,"",(E140-G140))</f>
        <v/>
      </c>
      <c r="J140" s="0">
        <f>IF(H140=0,"",(H140-I140))</f>
        <v/>
      </c>
      <c r="K140" s="0">
        <f>IF(E140=0,"",(J140/E140))</f>
        <v/>
      </c>
      <c r="T140" s="48" t="n"/>
      <c r="V140" s="48" t="n"/>
      <c r="W140" s="48" t="n"/>
    </row>
    <row r="141">
      <c r="C141" s="1" t="n">
        <v>45883</v>
      </c>
      <c r="D141" s="1">
        <f>TEXT(C141,"aaa")</f>
        <v/>
      </c>
      <c r="F141" s="0">
        <f>IF(E141=0,"",(E141-G141))</f>
        <v/>
      </c>
      <c r="J141" s="0">
        <f>IF(H141=0,"",(H141-I141))</f>
        <v/>
      </c>
      <c r="K141" s="0">
        <f>IF(E141=0,"",(J141/E141))</f>
        <v/>
      </c>
      <c r="T141" s="48" t="n"/>
      <c r="V141" s="48" t="n"/>
      <c r="W141" s="48" t="n"/>
    </row>
    <row r="142">
      <c r="C142" s="1" t="n">
        <v>45885</v>
      </c>
      <c r="D142" s="1">
        <f>TEXT(C142,"aaa")</f>
        <v/>
      </c>
      <c r="F142" s="0">
        <f>IF(E142=0,"",(E142-G142))</f>
        <v/>
      </c>
      <c r="J142" s="0">
        <f>IF(H142=0,"",(H142-I142))</f>
        <v/>
      </c>
      <c r="K142" s="0">
        <f>IF(E142=0,"",(J142/E142))</f>
        <v/>
      </c>
      <c r="T142" s="48" t="n"/>
      <c r="V142" s="48" t="n"/>
      <c r="W142" s="48" t="n"/>
    </row>
    <row r="143">
      <c r="C143" s="1" t="n">
        <v>45886</v>
      </c>
      <c r="D143" s="1">
        <f>TEXT(C143,"aaa")</f>
        <v/>
      </c>
      <c r="F143" s="0">
        <f>IF(E143=0,"",(E143-G143))</f>
        <v/>
      </c>
      <c r="J143" s="0">
        <f>IF(H143=0,"",(H143-I143))</f>
        <v/>
      </c>
      <c r="K143" s="0">
        <f>IF(E143=0,"",(J143/E143))</f>
        <v/>
      </c>
      <c r="T143" s="48" t="n"/>
      <c r="V143" s="48" t="n"/>
      <c r="W143" s="48" t="n"/>
    </row>
    <row r="144">
      <c r="C144" s="1" t="n">
        <v>45887</v>
      </c>
      <c r="D144" s="1">
        <f>TEXT(C144,"aaa")</f>
        <v/>
      </c>
      <c r="F144" s="0">
        <f>IF(E144=0,"",(E144-G144))</f>
        <v/>
      </c>
      <c r="J144" s="0">
        <f>IF(H144=0,"",(H144-I144))</f>
        <v/>
      </c>
      <c r="K144" s="0">
        <f>IF(E144=0,"",(J144/E144))</f>
        <v/>
      </c>
      <c r="T144" s="48" t="n"/>
      <c r="V144" s="48" t="n"/>
      <c r="W144" s="48" t="n"/>
    </row>
    <row r="145">
      <c r="C145" s="1" t="n">
        <v>45888</v>
      </c>
      <c r="D145" s="1">
        <f>TEXT(C145,"aaa")</f>
        <v/>
      </c>
      <c r="F145" s="0">
        <f>IF(E145=0,"",(E145-G145))</f>
        <v/>
      </c>
      <c r="J145" s="0">
        <f>IF(H145=0,"",(H145-I145))</f>
        <v/>
      </c>
      <c r="K145" s="0">
        <f>IF(E145=0,"",(J145/E145))</f>
        <v/>
      </c>
      <c r="T145" s="48" t="n"/>
      <c r="V145" s="48" t="n"/>
      <c r="W145" s="48" t="n"/>
    </row>
    <row r="146">
      <c r="C146" s="1" t="n">
        <v>45888</v>
      </c>
      <c r="D146" s="1">
        <f>TEXT(C146,"aaa")</f>
        <v/>
      </c>
      <c r="F146" s="0">
        <f>IF(E146=0,"",(E146-G146))</f>
        <v/>
      </c>
      <c r="J146" s="0">
        <f>IF(H146=0,"",(H146-I146))</f>
        <v/>
      </c>
      <c r="K146" s="0">
        <f>IF(E146=0,"",(J146/E146))</f>
        <v/>
      </c>
      <c r="T146" s="48" t="n"/>
      <c r="V146" s="48" t="n"/>
      <c r="W146" s="48" t="n"/>
    </row>
    <row r="147">
      <c r="C147" s="1" t="n">
        <v>45890</v>
      </c>
      <c r="D147" s="1">
        <f>TEXT(C147,"aaa")</f>
        <v/>
      </c>
      <c r="F147" s="0">
        <f>IF(E147=0,"",(E147-G147))</f>
        <v/>
      </c>
      <c r="J147" s="0">
        <f>IF(H147=0,"",(H147-I147))</f>
        <v/>
      </c>
      <c r="K147" s="0">
        <f>IF(E147=0,"",(J147/E147))</f>
        <v/>
      </c>
      <c r="T147" s="48" t="n"/>
      <c r="V147" s="48" t="n"/>
      <c r="W147" s="48" t="n"/>
    </row>
    <row r="148">
      <c r="C148" s="1" t="n">
        <v>45891</v>
      </c>
      <c r="D148" s="1">
        <f>TEXT(C148,"aaa")</f>
        <v/>
      </c>
      <c r="F148" s="0">
        <f>IF(E148=0,"",(E148-G148))</f>
        <v/>
      </c>
      <c r="J148" s="0">
        <f>IF(H148=0,"",(H148-I148))</f>
        <v/>
      </c>
      <c r="K148" s="0">
        <f>IF(E148=0,"",(J148/E148))</f>
        <v/>
      </c>
      <c r="T148" s="48" t="n"/>
      <c r="V148" s="48" t="n"/>
      <c r="W148" s="48" t="n"/>
    </row>
    <row r="149">
      <c r="C149" s="1" t="n">
        <v>45892</v>
      </c>
      <c r="D149" s="1">
        <f>TEXT(C149,"aaa")</f>
        <v/>
      </c>
      <c r="F149" s="0">
        <f>IF(E149=0,"",(E149-G149))</f>
        <v/>
      </c>
      <c r="J149" s="0">
        <f>IF(H149=0,"",(H149-I149))</f>
        <v/>
      </c>
      <c r="K149" s="0">
        <f>IF(E149=0,"",(J149/E149))</f>
        <v/>
      </c>
      <c r="T149" s="48" t="n"/>
      <c r="V149" s="48" t="n"/>
      <c r="W149" s="48" t="n"/>
    </row>
    <row r="150">
      <c r="C150" s="1" t="n">
        <v>45893</v>
      </c>
      <c r="D150" s="1">
        <f>TEXT(C150,"aaa")</f>
        <v/>
      </c>
      <c r="F150" s="0">
        <f>IF(E150=0,"",(E150-G150))</f>
        <v/>
      </c>
      <c r="J150" s="0">
        <f>IF(H150=0,"",(H150-I150))</f>
        <v/>
      </c>
      <c r="K150" s="0">
        <f>IF(E150=0,"",(J150/E150))</f>
        <v/>
      </c>
      <c r="T150" s="48" t="n"/>
      <c r="V150" s="48" t="n"/>
      <c r="W150" s="48" t="n"/>
    </row>
    <row r="151">
      <c r="C151" s="1" t="n">
        <v>45894</v>
      </c>
      <c r="D151" s="1">
        <f>TEXT(C151,"aaa")</f>
        <v/>
      </c>
      <c r="F151" s="0">
        <f>IF(E151=0,"",(E151-G151))</f>
        <v/>
      </c>
      <c r="J151" s="0">
        <f>IF(H151=0,"",(H151-I151))</f>
        <v/>
      </c>
      <c r="K151" s="0">
        <f>IF(E151=0,"",(J151/E151))</f>
        <v/>
      </c>
      <c r="T151" s="48" t="n"/>
      <c r="V151" s="48" t="n"/>
      <c r="W151" s="48" t="n"/>
    </row>
    <row r="152">
      <c r="C152" s="1" t="n">
        <v>45895</v>
      </c>
      <c r="D152" s="1">
        <f>TEXT(C152,"aaa")</f>
        <v/>
      </c>
      <c r="F152" s="0">
        <f>IF(E152=0,"",(E152-G152))</f>
        <v/>
      </c>
      <c r="J152" s="0">
        <f>IF(H152=0,"",(H152-I152))</f>
        <v/>
      </c>
      <c r="K152" s="0">
        <f>IF(E152=0,"",(J152/E152))</f>
        <v/>
      </c>
      <c r="T152" s="48" t="n"/>
      <c r="V152" s="48" t="n"/>
      <c r="W152" s="48" t="n"/>
    </row>
    <row r="153">
      <c r="C153" s="1" t="n">
        <v>45895</v>
      </c>
      <c r="D153" s="1">
        <f>TEXT(C153,"aaa")</f>
        <v/>
      </c>
      <c r="F153" s="0">
        <f>IF(E153=0,"",(E153-G153))</f>
        <v/>
      </c>
      <c r="J153" s="0">
        <f>IF(H153=0,"",(H153-I153))</f>
        <v/>
      </c>
      <c r="K153" s="0">
        <f>IF(E153=0,"",(J153/E153))</f>
        <v/>
      </c>
      <c r="T153" s="48" t="n"/>
      <c r="V153" s="48" t="n"/>
      <c r="W153" s="48" t="n"/>
    </row>
    <row r="154">
      <c r="C154" s="1" t="n">
        <v>45897</v>
      </c>
      <c r="D154" s="1">
        <f>TEXT(C154,"aaa")</f>
        <v/>
      </c>
      <c r="F154" s="0">
        <f>IF(E154=0,"",(E154-G154))</f>
        <v/>
      </c>
      <c r="J154" s="0">
        <f>IF(H154=0,"",(H154-I154))</f>
        <v/>
      </c>
      <c r="K154" s="0">
        <f>IF(E154=0,"",(J154/E154))</f>
        <v/>
      </c>
      <c r="T154" s="48" t="n"/>
      <c r="V154" s="48" t="n"/>
      <c r="W154" s="48" t="n"/>
    </row>
    <row r="155">
      <c r="C155" s="1" t="n">
        <v>45898</v>
      </c>
      <c r="D155" s="1">
        <f>TEXT(C155,"aaa")</f>
        <v/>
      </c>
      <c r="F155" s="0">
        <f>IF(E155=0,"",(E155-G155))</f>
        <v/>
      </c>
      <c r="J155" s="0">
        <f>IF(H155=0,"",(H155-I155))</f>
        <v/>
      </c>
      <c r="K155" s="0">
        <f>IF(E155=0,"",(J155/E155))</f>
        <v/>
      </c>
      <c r="T155" s="48" t="n"/>
      <c r="V155" s="48" t="n"/>
      <c r="W155" s="48" t="n"/>
    </row>
    <row r="156">
      <c r="C156" s="1" t="n">
        <v>45899</v>
      </c>
      <c r="D156" s="1">
        <f>TEXT(C156,"aaa")</f>
        <v/>
      </c>
      <c r="F156" s="0">
        <f>IF(E156=0,"",(E156-G156))</f>
        <v/>
      </c>
      <c r="J156" s="0">
        <f>IF(H156=0,"",(H156-I156))</f>
        <v/>
      </c>
      <c r="K156" s="0">
        <f>IF(E156=0,"",(J156/E156))</f>
        <v/>
      </c>
      <c r="T156" s="48" t="n"/>
      <c r="V156" s="48" t="n"/>
      <c r="W156" s="48" t="n"/>
    </row>
    <row r="157" ht="18.6" customHeight="1" s="47" thickBot="1">
      <c r="A157" s="8" t="n"/>
      <c r="B157" s="8" t="n"/>
      <c r="C157" s="9" t="n">
        <v>45900</v>
      </c>
      <c r="D157" s="1">
        <f>TEXT(C157,"aaa")</f>
        <v/>
      </c>
      <c r="E157" s="8" t="n"/>
      <c r="F157" s="0">
        <f>IF(E157=0,"",(E157-G157))</f>
        <v/>
      </c>
      <c r="G157" s="8" t="n"/>
      <c r="H157" s="8" t="n"/>
      <c r="I157" s="8" t="n"/>
      <c r="J157" s="0">
        <f>IF(H157=0,"",(H157-I157))</f>
        <v/>
      </c>
      <c r="K157" s="0">
        <f>IF(E157=0,"",(J157/E157))</f>
        <v/>
      </c>
      <c r="L157" s="8" t="n"/>
      <c r="M157" s="8" t="n"/>
      <c r="N157" s="8" t="n"/>
      <c r="O157" s="8" t="n"/>
      <c r="P157" s="8" t="n"/>
      <c r="Q157" s="8" t="n"/>
      <c r="R157" s="8" t="n"/>
      <c r="T157" s="48" t="n"/>
      <c r="V157" s="48" t="n"/>
      <c r="W157" s="48" t="n"/>
      <c r="Y157" s="8" t="n"/>
    </row>
    <row r="158">
      <c r="C158" s="1" t="n">
        <v>45901</v>
      </c>
      <c r="D158" s="1">
        <f>TEXT(C158,"aaa")</f>
        <v/>
      </c>
      <c r="F158" s="0">
        <f>IF(E158=0,"",(E158-G158))</f>
        <v/>
      </c>
      <c r="J158" s="0">
        <f>IF(H158=0,"",(H158-I158))</f>
        <v/>
      </c>
      <c r="K158" s="0">
        <f>IF(E158=0,"",(J158/E158))</f>
        <v/>
      </c>
      <c r="T158" s="48" t="n"/>
      <c r="V158" s="48" t="n"/>
      <c r="W158" s="48" t="n"/>
    </row>
    <row r="159">
      <c r="C159" s="1" t="n">
        <v>45902</v>
      </c>
      <c r="D159" s="1">
        <f>TEXT(C159,"aaa")</f>
        <v/>
      </c>
      <c r="F159" s="0">
        <f>IF(E159=0,"",(E159-G159))</f>
        <v/>
      </c>
      <c r="J159" s="0">
        <f>IF(H159=0,"",(H159-I159))</f>
        <v/>
      </c>
      <c r="K159" s="0">
        <f>IF(E159=0,"",(J159/E159))</f>
        <v/>
      </c>
      <c r="T159" s="48" t="n"/>
      <c r="V159" s="48" t="n"/>
      <c r="W159" s="48" t="n"/>
    </row>
    <row r="160">
      <c r="C160" s="1" t="n">
        <v>45902</v>
      </c>
      <c r="D160" s="1">
        <f>TEXT(C160,"aaa")</f>
        <v/>
      </c>
      <c r="F160" s="0">
        <f>IF(E160=0,"",(E160-G160))</f>
        <v/>
      </c>
      <c r="J160" s="0">
        <f>IF(H160=0,"",(H160-I160))</f>
        <v/>
      </c>
      <c r="K160" s="0">
        <f>IF(E160=0,"",(J160/E160))</f>
        <v/>
      </c>
      <c r="T160" s="48" t="n"/>
      <c r="V160" s="48" t="n"/>
      <c r="W160" s="48" t="n"/>
    </row>
    <row r="161">
      <c r="C161" s="1" t="n">
        <v>45904</v>
      </c>
      <c r="D161" s="1">
        <f>TEXT(C161,"aaa")</f>
        <v/>
      </c>
      <c r="F161" s="0">
        <f>IF(E161=0,"",(E161-G161))</f>
        <v/>
      </c>
      <c r="J161" s="0">
        <f>IF(H161=0,"",(H161-I161))</f>
        <v/>
      </c>
      <c r="K161" s="0">
        <f>IF(E161=0,"",(J161/E161))</f>
        <v/>
      </c>
      <c r="T161" s="48" t="n"/>
      <c r="U161" s="48" t="n"/>
      <c r="V161" s="48" t="n"/>
      <c r="W161" s="48" t="n"/>
    </row>
    <row r="162">
      <c r="C162" s="1" t="n">
        <v>45905</v>
      </c>
      <c r="D162" s="1">
        <f>TEXT(C162,"aaa")</f>
        <v/>
      </c>
      <c r="F162" s="0">
        <f>IF(E162=0,"",(E162-G162))</f>
        <v/>
      </c>
      <c r="J162" s="0">
        <f>IF(H162=0,"",(H162-I162))</f>
        <v/>
      </c>
      <c r="K162" s="0">
        <f>IF(E162=0,"",(J162/E162))</f>
        <v/>
      </c>
      <c r="T162" s="48" t="n"/>
      <c r="V162" s="48" t="n"/>
      <c r="W162" s="48" t="n"/>
    </row>
    <row r="163">
      <c r="C163" s="1" t="n">
        <v>45906</v>
      </c>
      <c r="D163" s="1">
        <f>TEXT(C163,"aaa")</f>
        <v/>
      </c>
      <c r="F163" s="0">
        <f>IF(E163=0,"",(E163-G163))</f>
        <v/>
      </c>
      <c r="J163" s="0">
        <f>IF(H163=0,"",(H163-I163))</f>
        <v/>
      </c>
      <c r="K163" s="0">
        <f>IF(E163=0,"",(J163/E163))</f>
        <v/>
      </c>
      <c r="T163" s="48" t="n"/>
      <c r="V163" s="48" t="n"/>
      <c r="W163" s="48" t="n"/>
    </row>
    <row r="164">
      <c r="C164" s="1" t="n">
        <v>45907</v>
      </c>
      <c r="D164" s="1">
        <f>TEXT(C164,"aaa")</f>
        <v/>
      </c>
      <c r="F164" s="0">
        <f>IF(E164=0,"",(E164-G164))</f>
        <v/>
      </c>
      <c r="J164" s="0">
        <f>IF(H164=0,"",(H164-I164))</f>
        <v/>
      </c>
      <c r="K164" s="0">
        <f>IF(E164=0,"",(J164/E164))</f>
        <v/>
      </c>
      <c r="T164" s="48" t="n"/>
      <c r="V164" s="48" t="n"/>
      <c r="W164" s="48" t="n"/>
    </row>
    <row r="165">
      <c r="C165" s="1" t="n">
        <v>45908</v>
      </c>
      <c r="D165" s="1">
        <f>TEXT(C165,"aaa")</f>
        <v/>
      </c>
      <c r="F165" s="0">
        <f>IF(E165=0,"",(E165-G165))</f>
        <v/>
      </c>
      <c r="J165" s="0">
        <f>IF(H165=0,"",(H165-I165))</f>
        <v/>
      </c>
      <c r="K165" s="0">
        <f>IF(E165=0,"",(J165/E165))</f>
        <v/>
      </c>
      <c r="T165" s="48" t="n"/>
      <c r="V165" s="48" t="n"/>
      <c r="W165" s="48" t="n"/>
    </row>
    <row r="166">
      <c r="C166" s="1" t="n">
        <v>45909</v>
      </c>
      <c r="D166" s="1">
        <f>TEXT(C166,"aaa")</f>
        <v/>
      </c>
      <c r="F166" s="0">
        <f>IF(E166=0,"",(E166-G166))</f>
        <v/>
      </c>
      <c r="J166" s="0">
        <f>IF(H166=0,"",(H166-I166))</f>
        <v/>
      </c>
      <c r="K166" s="0">
        <f>IF(E166=0,"",(J166/E166))</f>
        <v/>
      </c>
      <c r="T166" s="48" t="n"/>
      <c r="V166" s="48" t="n"/>
      <c r="W166" s="48" t="n"/>
    </row>
    <row r="167">
      <c r="C167" s="1" t="n">
        <v>45909</v>
      </c>
      <c r="D167" s="1">
        <f>TEXT(C167,"aaa")</f>
        <v/>
      </c>
      <c r="F167" s="0">
        <f>IF(E167=0,"",(E167-G167))</f>
        <v/>
      </c>
      <c r="J167" s="0">
        <f>IF(H167=0,"",(H167-I167))</f>
        <v/>
      </c>
      <c r="K167" s="0">
        <f>IF(E167=0,"",(J167/E167))</f>
        <v/>
      </c>
      <c r="T167" s="48" t="n"/>
      <c r="V167" s="48" t="n"/>
      <c r="W167" s="48" t="n"/>
    </row>
    <row r="168">
      <c r="C168" s="1" t="n">
        <v>45911</v>
      </c>
      <c r="D168" s="1">
        <f>TEXT(C168,"aaa")</f>
        <v/>
      </c>
      <c r="F168" s="0">
        <f>IF(E168=0,"",(E168-G168))</f>
        <v/>
      </c>
      <c r="J168" s="0">
        <f>IF(H168=0,"",(H168-I168))</f>
        <v/>
      </c>
      <c r="K168" s="0">
        <f>IF(E168=0,"",(J168/E168))</f>
        <v/>
      </c>
      <c r="T168" s="48" t="n"/>
      <c r="V168" s="48" t="n"/>
      <c r="W168" s="48" t="n"/>
    </row>
    <row r="169">
      <c r="C169" s="1" t="n">
        <v>45911</v>
      </c>
      <c r="D169" s="1">
        <f>TEXT(C169,"aaa")</f>
        <v/>
      </c>
      <c r="F169" s="0">
        <f>IF(E169=0,"",(E169-G169))</f>
        <v/>
      </c>
      <c r="J169" s="0">
        <f>IF(H169=0,"",(H169-I169))</f>
        <v/>
      </c>
      <c r="K169" s="0">
        <f>IF(E169=0,"",(J169/E169))</f>
        <v/>
      </c>
      <c r="T169" s="48" t="n"/>
      <c r="V169" s="48" t="n"/>
      <c r="W169" s="48" t="n"/>
    </row>
    <row r="170">
      <c r="C170" s="1" t="n">
        <v>45913</v>
      </c>
      <c r="D170" s="1">
        <f>TEXT(C170,"aaa")</f>
        <v/>
      </c>
      <c r="F170" s="0">
        <f>IF(E170=0,"",(E170-G170))</f>
        <v/>
      </c>
      <c r="J170" s="0">
        <f>IF(H170=0,"",(H170-I170))</f>
        <v/>
      </c>
      <c r="K170" s="0">
        <f>IF(E170=0,"",(J170/E170))</f>
        <v/>
      </c>
      <c r="T170" s="48" t="n"/>
      <c r="V170" s="48" t="n"/>
      <c r="W170" s="48" t="n"/>
    </row>
    <row r="171">
      <c r="C171" s="1" t="n">
        <v>45914</v>
      </c>
      <c r="D171" s="1">
        <f>TEXT(C171,"aaa")</f>
        <v/>
      </c>
      <c r="F171" s="0">
        <f>IF(E171=0,"",(E171-G171))</f>
        <v/>
      </c>
      <c r="J171" s="0">
        <f>IF(H171=0,"",(H171-I171))</f>
        <v/>
      </c>
      <c r="K171" s="0">
        <f>IF(E171=0,"",(J171/E171))</f>
        <v/>
      </c>
      <c r="T171" s="48" t="n"/>
      <c r="V171" s="48" t="n"/>
      <c r="W171" s="48" t="n"/>
    </row>
    <row r="172">
      <c r="C172" s="1" t="n">
        <v>45915</v>
      </c>
      <c r="D172" s="1">
        <f>TEXT(C172,"aaa")</f>
        <v/>
      </c>
      <c r="F172" s="0">
        <f>IF(E172=0,"",(E172-G172))</f>
        <v/>
      </c>
      <c r="J172" s="0">
        <f>IF(H172=0,"",(H172-I172))</f>
        <v/>
      </c>
      <c r="K172" s="0">
        <f>IF(E172=0,"",(J172/E172))</f>
        <v/>
      </c>
      <c r="T172" s="48" t="n"/>
      <c r="V172" s="48" t="n"/>
      <c r="W172" s="48" t="n"/>
    </row>
    <row r="173">
      <c r="C173" s="1" t="n">
        <v>45916</v>
      </c>
      <c r="D173" s="1">
        <f>TEXT(C173,"aaa")</f>
        <v/>
      </c>
      <c r="F173" s="0">
        <f>IF(E173=0,"",(E173-G173))</f>
        <v/>
      </c>
      <c r="J173" s="0">
        <f>IF(H173=0,"",(H173-I173))</f>
        <v/>
      </c>
      <c r="K173" s="0">
        <f>IF(E173=0,"",(J173/E173))</f>
        <v/>
      </c>
      <c r="T173" s="48" t="n"/>
      <c r="V173" s="48" t="n"/>
      <c r="W173" s="48" t="n"/>
    </row>
    <row r="174">
      <c r="C174" s="1" t="n">
        <v>45916</v>
      </c>
      <c r="D174" s="1">
        <f>TEXT(C174,"aaa")</f>
        <v/>
      </c>
      <c r="F174" s="0">
        <f>IF(E174=0,"",(E174-G174))</f>
        <v/>
      </c>
      <c r="J174" s="0">
        <f>IF(H174=0,"",(H174-I174))</f>
        <v/>
      </c>
      <c r="K174" s="0">
        <f>IF(E174=0,"",(J174/E174))</f>
        <v/>
      </c>
      <c r="T174" s="48" t="n"/>
      <c r="V174" s="48" t="n"/>
      <c r="W174" s="48" t="n"/>
    </row>
    <row r="175">
      <c r="C175" s="1" t="n">
        <v>45918</v>
      </c>
      <c r="D175" s="1">
        <f>TEXT(C175,"aaa")</f>
        <v/>
      </c>
      <c r="F175" s="0">
        <f>IF(E175=0,"",(E175-G175))</f>
        <v/>
      </c>
      <c r="J175" s="0">
        <f>IF(H175=0,"",(H175-I175))</f>
        <v/>
      </c>
      <c r="K175" s="0">
        <f>IF(E175=0,"",(J175/E175))</f>
        <v/>
      </c>
      <c r="T175" s="48" t="n"/>
      <c r="V175" s="48" t="n"/>
      <c r="W175" s="48" t="n"/>
    </row>
    <row r="176">
      <c r="C176" s="1" t="n">
        <v>45918</v>
      </c>
      <c r="D176" s="1">
        <f>TEXT(C176,"aaa")</f>
        <v/>
      </c>
      <c r="F176" s="0">
        <f>IF(E176=0,"",(E176-G176))</f>
        <v/>
      </c>
      <c r="J176" s="0">
        <f>IF(H176=0,"",(H176-I176))</f>
        <v/>
      </c>
      <c r="K176" s="0">
        <f>IF(E176=0,"",(J176/E176))</f>
        <v/>
      </c>
      <c r="T176" s="48" t="n"/>
      <c r="U176" s="48" t="n"/>
      <c r="V176" s="48" t="n"/>
      <c r="W176" s="48" t="n"/>
    </row>
    <row r="177">
      <c r="C177" s="1" t="n">
        <v>45919</v>
      </c>
      <c r="D177" s="1">
        <f>TEXT(C177,"aaa")</f>
        <v/>
      </c>
      <c r="F177" s="0">
        <f>IF(E177=0,"",(E177-G177))</f>
        <v/>
      </c>
      <c r="J177" s="0">
        <f>IF(H177=0,"",(H177-I177))</f>
        <v/>
      </c>
      <c r="K177" s="0">
        <f>IF(E177=0,"",(J177/E177))</f>
        <v/>
      </c>
      <c r="T177" s="48" t="n"/>
      <c r="V177" s="48" t="n"/>
      <c r="W177" s="48" t="n"/>
    </row>
    <row r="178">
      <c r="C178" s="1" t="n">
        <v>45921</v>
      </c>
      <c r="D178" s="1">
        <f>TEXT(C178,"aaa")</f>
        <v/>
      </c>
      <c r="F178" s="0">
        <f>IF(E178=0,"",(E178-G178))</f>
        <v/>
      </c>
      <c r="J178" s="0">
        <f>IF(H178=0,"",(H178-I178))</f>
        <v/>
      </c>
      <c r="K178" s="0">
        <f>IF(E178=0,"",(J178/E178))</f>
        <v/>
      </c>
      <c r="T178" s="48" t="n"/>
      <c r="V178" s="48" t="n"/>
      <c r="W178" s="48" t="n"/>
    </row>
    <row r="179">
      <c r="C179" s="1" t="n">
        <v>45922</v>
      </c>
      <c r="D179" s="1">
        <f>TEXT(C179,"aaa")</f>
        <v/>
      </c>
      <c r="F179" s="0">
        <f>IF(E179=0,"",(E179-G179))</f>
        <v/>
      </c>
      <c r="J179" s="0">
        <f>IF(H179=0,"",(H179-I179))</f>
        <v/>
      </c>
      <c r="K179" s="0">
        <f>IF(E179=0,"",(J179/E179))</f>
        <v/>
      </c>
      <c r="T179" s="48" t="n"/>
      <c r="V179" s="48" t="n"/>
      <c r="W179" s="48" t="n"/>
    </row>
    <row r="180">
      <c r="C180" s="1" t="n">
        <v>45923</v>
      </c>
      <c r="D180" s="1">
        <f>TEXT(C180,"aaa")</f>
        <v/>
      </c>
      <c r="F180" s="0">
        <f>IF(E180=0,"",(E180-G180))</f>
        <v/>
      </c>
      <c r="J180" s="0">
        <f>IF(H180=0,"",(H180-I180))</f>
        <v/>
      </c>
      <c r="K180" s="0">
        <f>IF(E180=0,"",(J180/E180))</f>
        <v/>
      </c>
      <c r="T180" s="48" t="n"/>
      <c r="V180" s="48" t="n"/>
      <c r="W180" s="48" t="n"/>
    </row>
    <row r="181">
      <c r="C181" s="1" t="n">
        <v>45924</v>
      </c>
      <c r="D181" s="1">
        <f>TEXT(C181,"aaa")</f>
        <v/>
      </c>
      <c r="F181" s="0">
        <f>IF(E181=0,"",(E181-G181))</f>
        <v/>
      </c>
      <c r="J181" s="0">
        <f>IF(H181=0,"",(H181-I181))</f>
        <v/>
      </c>
      <c r="K181" s="0">
        <f>IF(E181=0,"",(J181/E181))</f>
        <v/>
      </c>
      <c r="T181" s="48" t="n"/>
      <c r="V181" s="48" t="n"/>
      <c r="W181" s="48" t="n"/>
    </row>
    <row r="182">
      <c r="C182" s="1" t="n">
        <v>45925</v>
      </c>
      <c r="D182" s="1">
        <f>TEXT(C182,"aaa")</f>
        <v/>
      </c>
      <c r="F182" s="0">
        <f>IF(E182=0,"",(E182-G182))</f>
        <v/>
      </c>
      <c r="J182" s="0">
        <f>IF(H182=0,"",(H182-I182))</f>
        <v/>
      </c>
      <c r="K182" s="0">
        <f>IF(E182=0,"",(J182/E182))</f>
        <v/>
      </c>
      <c r="T182" s="48" t="n"/>
      <c r="V182" s="48" t="n"/>
      <c r="W182" s="48" t="n"/>
    </row>
    <row r="183">
      <c r="C183" s="1" t="n">
        <v>45925</v>
      </c>
      <c r="D183" s="1">
        <f>TEXT(C183,"aaa")</f>
        <v/>
      </c>
      <c r="F183" s="0">
        <f>IF(E183=0,"",(E183-G183))</f>
        <v/>
      </c>
      <c r="J183" s="0">
        <f>IF(H183=0,"",(H183-I183))</f>
        <v/>
      </c>
      <c r="K183" s="0">
        <f>IF(E183=0,"",(J183/E183))</f>
        <v/>
      </c>
      <c r="T183" s="48" t="n"/>
      <c r="V183" s="48" t="n"/>
      <c r="W183" s="48" t="n"/>
    </row>
    <row r="184">
      <c r="C184" s="1" t="n">
        <v>45927</v>
      </c>
      <c r="D184" s="1">
        <f>TEXT(C184,"aaa")</f>
        <v/>
      </c>
      <c r="F184" s="0">
        <f>IF(E184=0,"",(E184-G184))</f>
        <v/>
      </c>
      <c r="J184" s="0">
        <f>IF(H184=0,"",(H184-I184))</f>
        <v/>
      </c>
      <c r="K184" s="0">
        <f>IF(E184=0,"",(J184/E184))</f>
        <v/>
      </c>
      <c r="T184" s="48" t="n"/>
      <c r="V184" s="48" t="n"/>
      <c r="W184" s="48" t="n"/>
    </row>
    <row r="185">
      <c r="C185" s="1" t="n">
        <v>45928</v>
      </c>
      <c r="D185" s="1">
        <f>TEXT(C185,"aaa")</f>
        <v/>
      </c>
      <c r="F185" s="0">
        <f>IF(E185=0,"",(E185-G185))</f>
        <v/>
      </c>
      <c r="J185" s="0">
        <f>IF(H185=0,"",(H185-I185))</f>
        <v/>
      </c>
      <c r="K185" s="0">
        <f>IF(E185=0,"",(J185/E185))</f>
        <v/>
      </c>
      <c r="T185" s="48" t="n"/>
      <c r="V185" s="48" t="n"/>
      <c r="W185" s="48" t="n"/>
    </row>
    <row r="186">
      <c r="C186" s="1" t="n">
        <v>45929</v>
      </c>
      <c r="D186" s="1">
        <f>TEXT(C186,"aaa")</f>
        <v/>
      </c>
      <c r="F186" s="0">
        <f>IF(E186=0,"",(E186-G186))</f>
        <v/>
      </c>
      <c r="J186" s="0">
        <f>IF(H186=0,"",(H186-I186))</f>
        <v/>
      </c>
      <c r="K186" s="0">
        <f>IF(E186=0,"",(J186/E186))</f>
        <v/>
      </c>
      <c r="T186" s="48" t="n"/>
      <c r="V186" s="48" t="n"/>
      <c r="W186" s="48" t="n"/>
    </row>
    <row r="187" ht="18.6" customHeight="1" s="47" thickBot="1">
      <c r="A187" s="8" t="n"/>
      <c r="B187" s="8" t="n"/>
      <c r="C187" s="9" t="n">
        <v>45930</v>
      </c>
      <c r="D187" s="1">
        <f>TEXT(C187,"aaa")</f>
        <v/>
      </c>
      <c r="E187" s="8" t="n"/>
      <c r="F187" s="0">
        <f>IF(E187=0,"",(E187-G187))</f>
        <v/>
      </c>
      <c r="G187" s="8" t="n"/>
      <c r="H187" s="8" t="n"/>
      <c r="I187" s="8" t="n"/>
      <c r="J187" s="0">
        <f>IF(H187=0,"",(H187-I187))</f>
        <v/>
      </c>
      <c r="K187" s="0">
        <f>IF(E187=0,"",(J187/E187))</f>
        <v/>
      </c>
      <c r="L187" s="8" t="n"/>
      <c r="M187" s="8" t="n"/>
      <c r="N187" s="8" t="n"/>
      <c r="O187" s="8" t="n"/>
      <c r="P187" s="8" t="n"/>
      <c r="Q187" s="8" t="n"/>
      <c r="R187" s="8" t="n"/>
      <c r="T187" s="48" t="n"/>
      <c r="V187" s="48" t="n"/>
      <c r="W187" s="48" t="n"/>
      <c r="X187" s="8" t="n"/>
      <c r="Y187" s="8" t="n"/>
    </row>
    <row r="188">
      <c r="C188" s="1" t="n">
        <v>45930</v>
      </c>
      <c r="D188" s="1">
        <f>TEXT(C188,"aaa")</f>
        <v/>
      </c>
      <c r="F188" s="0">
        <f>IF(E188=0,"",(E188-G188))</f>
        <v/>
      </c>
      <c r="J188" s="0">
        <f>IF(H188=0,"",(H188-I188))</f>
        <v/>
      </c>
      <c r="K188" s="0">
        <f>IF(E188=0,"",(J188/E188))</f>
        <v/>
      </c>
      <c r="T188" s="48" t="n"/>
      <c r="V188" s="48" t="n"/>
      <c r="W188" s="48" t="n"/>
    </row>
    <row r="189">
      <c r="C189" s="1" t="n">
        <v>45932</v>
      </c>
      <c r="D189" s="1">
        <f>TEXT(C189,"aaa")</f>
        <v/>
      </c>
      <c r="F189" s="0">
        <f>IF(E189=0,"",(E189-G189))</f>
        <v/>
      </c>
      <c r="J189" s="0">
        <f>IF(H189=0,"",(H189-I189))</f>
        <v/>
      </c>
      <c r="K189" s="0">
        <f>IF(E189=0,"",(J189/E189))</f>
        <v/>
      </c>
      <c r="T189" s="48" t="n"/>
      <c r="V189" s="48" t="n"/>
      <c r="W189" s="48" t="n"/>
    </row>
    <row r="190">
      <c r="C190" s="1" t="n">
        <v>45933</v>
      </c>
      <c r="D190" s="1">
        <f>TEXT(C190,"aaa")</f>
        <v/>
      </c>
      <c r="F190" s="0">
        <f>IF(E190=0,"",(E190-G190))</f>
        <v/>
      </c>
      <c r="J190" s="0">
        <f>IF(H190=0,"",(H190-I190))</f>
        <v/>
      </c>
      <c r="K190" s="0">
        <f>IF(E190=0,"",(J190/E190))</f>
        <v/>
      </c>
      <c r="T190" s="48" t="n"/>
      <c r="V190" s="48" t="n"/>
      <c r="W190" s="48" t="n"/>
    </row>
    <row r="191">
      <c r="C191" s="1" t="n">
        <v>45934</v>
      </c>
      <c r="D191" s="1">
        <f>TEXT(C191,"aaa")</f>
        <v/>
      </c>
      <c r="F191" s="0">
        <f>IF(E191=0,"",(E191-G191))</f>
        <v/>
      </c>
      <c r="J191" s="0">
        <f>IF(H191=0,"",(H191-I191))</f>
        <v/>
      </c>
      <c r="K191" s="0">
        <f>IF(E191=0,"",(J191/E191))</f>
        <v/>
      </c>
      <c r="T191" s="48" t="n"/>
      <c r="V191" s="48" t="n"/>
      <c r="W191" s="48" t="n"/>
    </row>
    <row r="192">
      <c r="C192" s="1" t="n">
        <v>45935</v>
      </c>
      <c r="D192" s="1">
        <f>TEXT(C192,"aaa")</f>
        <v/>
      </c>
      <c r="F192" s="0">
        <f>IF(E192=0,"",(E192-G192))</f>
        <v/>
      </c>
      <c r="J192" s="0">
        <f>IF(H192=0,"",(H192-I192))</f>
        <v/>
      </c>
      <c r="K192" s="0">
        <f>IF(E192=0,"",(J192/E192))</f>
        <v/>
      </c>
      <c r="T192" s="48" t="n"/>
      <c r="V192" s="48" t="n"/>
      <c r="W192" s="48" t="n"/>
    </row>
    <row r="193">
      <c r="C193" s="1" t="n">
        <v>45936</v>
      </c>
      <c r="D193" s="1">
        <f>TEXT(C193,"aaa")</f>
        <v/>
      </c>
      <c r="F193" s="0">
        <f>IF(E193=0,"",(E193-G193))</f>
        <v/>
      </c>
      <c r="J193" s="0">
        <f>IF(H193=0,"",(H193-I193))</f>
        <v/>
      </c>
      <c r="K193" s="0">
        <f>IF(E193=0,"",(J193/E193))</f>
        <v/>
      </c>
      <c r="T193" s="48" t="n"/>
      <c r="V193" s="48" t="n"/>
      <c r="W193" s="48" t="n"/>
    </row>
    <row r="194">
      <c r="C194" s="1" t="n">
        <v>45937</v>
      </c>
      <c r="D194" s="1">
        <f>TEXT(C194,"aaa")</f>
        <v/>
      </c>
      <c r="F194" s="0">
        <f>IF(E194=0,"",(E194-G194))</f>
        <v/>
      </c>
      <c r="J194" s="0">
        <f>IF(H194=0,"",(H194-I194))</f>
        <v/>
      </c>
      <c r="K194" s="0">
        <f>IF(E194=0,"",(J194/E194))</f>
        <v/>
      </c>
      <c r="T194" s="48" t="n"/>
      <c r="V194" s="48" t="n"/>
      <c r="W194" s="48" t="n"/>
    </row>
    <row r="195">
      <c r="C195" s="1" t="n">
        <v>45937</v>
      </c>
      <c r="D195" s="1">
        <f>TEXT(C195,"aaa")</f>
        <v/>
      </c>
      <c r="F195" s="0">
        <f>IF(E195=0,"",(E195-G195))</f>
        <v/>
      </c>
      <c r="J195" s="0">
        <f>IF(H195=0,"",(H195-I195))</f>
        <v/>
      </c>
      <c r="K195" s="0">
        <f>IF(E195=0,"",(J195/E195))</f>
        <v/>
      </c>
      <c r="T195" s="48" t="n"/>
      <c r="V195" s="48" t="n"/>
      <c r="W195" s="48" t="n"/>
    </row>
    <row r="196">
      <c r="C196" s="1" t="n">
        <v>45939</v>
      </c>
      <c r="D196" s="1">
        <f>TEXT(C196,"aaa")</f>
        <v/>
      </c>
      <c r="F196" s="0">
        <f>IF(E196=0,"",(E196-G196))</f>
        <v/>
      </c>
      <c r="J196" s="0">
        <f>IF(H196=0,"",(H196-I196))</f>
        <v/>
      </c>
      <c r="K196" s="0">
        <f>IF(E196=0,"",(J196/E196))</f>
        <v/>
      </c>
      <c r="T196" s="48" t="n"/>
      <c r="U196" s="48" t="n"/>
      <c r="V196" s="48" t="n"/>
      <c r="W196" s="48" t="n"/>
    </row>
    <row r="197">
      <c r="C197" s="1" t="n">
        <v>45940</v>
      </c>
      <c r="D197" s="1">
        <f>TEXT(C197,"aaa")</f>
        <v/>
      </c>
      <c r="F197" s="0">
        <f>IF(E197=0,"",(E197-G197))</f>
        <v/>
      </c>
      <c r="J197" s="0">
        <f>IF(H197=0,"",(H197-I197))</f>
        <v/>
      </c>
      <c r="K197" s="0">
        <f>IF(E197=0,"",(J197/E197))</f>
        <v/>
      </c>
      <c r="T197" s="48" t="n"/>
      <c r="V197" s="48" t="n"/>
      <c r="W197" s="48" t="n"/>
    </row>
    <row r="198">
      <c r="C198" s="1" t="n">
        <v>45941</v>
      </c>
      <c r="D198" s="1">
        <f>TEXT(C198,"aaa")</f>
        <v/>
      </c>
      <c r="F198" s="0">
        <f>IF(E198=0,"",(E198-G198))</f>
        <v/>
      </c>
      <c r="J198" s="0">
        <f>IF(H198=0,"",(H198-I198))</f>
        <v/>
      </c>
      <c r="K198" s="0">
        <f>IF(E198=0,"",(J198/E198))</f>
        <v/>
      </c>
      <c r="T198" s="48" t="n"/>
      <c r="V198" s="48" t="n"/>
      <c r="W198" s="48" t="n"/>
    </row>
    <row r="199">
      <c r="C199" s="1" t="n">
        <v>45942</v>
      </c>
      <c r="D199" s="1">
        <f>TEXT(C199,"aaa")</f>
        <v/>
      </c>
      <c r="F199" s="0">
        <f>IF(E199=0,"",(E199-G199))</f>
        <v/>
      </c>
      <c r="J199" s="0">
        <f>IF(H199=0,"",(H199-I199))</f>
        <v/>
      </c>
      <c r="K199" s="0">
        <f>IF(E199=0,"",(J199/E199))</f>
        <v/>
      </c>
      <c r="T199" s="48" t="n"/>
      <c r="V199" s="48" t="n"/>
      <c r="W199" s="48" t="n"/>
    </row>
    <row r="200">
      <c r="C200" s="1" t="n">
        <v>45943</v>
      </c>
      <c r="D200" s="1">
        <f>TEXT(C200,"aaa")</f>
        <v/>
      </c>
      <c r="F200" s="0">
        <f>IF(E200=0,"",(E200-G200))</f>
        <v/>
      </c>
      <c r="J200" s="0">
        <f>IF(H200=0,"",(H200-I200))</f>
        <v/>
      </c>
      <c r="K200" s="0">
        <f>IF(E200=0,"",(J200/E200))</f>
        <v/>
      </c>
      <c r="T200" s="48" t="n"/>
      <c r="V200" s="48" t="n"/>
      <c r="W200" s="48" t="n"/>
    </row>
    <row r="201">
      <c r="C201" s="1" t="n">
        <v>45944</v>
      </c>
      <c r="D201" s="1">
        <f>TEXT(C201,"aaa")</f>
        <v/>
      </c>
      <c r="F201" s="0">
        <f>IF(E201=0,"",(E201-G201))</f>
        <v/>
      </c>
      <c r="J201" s="0">
        <f>IF(H201=0,"",(H201-I201))</f>
        <v/>
      </c>
      <c r="K201" s="0">
        <f>IF(E201=0,"",(J201/E201))</f>
        <v/>
      </c>
      <c r="T201" s="48" t="n"/>
      <c r="V201" s="48" t="n"/>
      <c r="W201" s="48" t="n"/>
    </row>
    <row r="202">
      <c r="C202" s="1" t="n">
        <v>45944</v>
      </c>
      <c r="D202" s="1">
        <f>TEXT(C202,"aaa")</f>
        <v/>
      </c>
      <c r="F202" s="0">
        <f>IF(E202=0,"",(E202-G202))</f>
        <v/>
      </c>
      <c r="J202" s="0">
        <f>IF(H202=0,"",(H202-I202))</f>
        <v/>
      </c>
      <c r="K202" s="0">
        <f>IF(E202=0,"",(J202/E202))</f>
        <v/>
      </c>
      <c r="T202" s="48" t="n"/>
      <c r="V202" s="48" t="n"/>
      <c r="W202" s="48" t="n"/>
    </row>
    <row r="203">
      <c r="C203" s="1" t="n">
        <v>45946</v>
      </c>
      <c r="D203" s="1">
        <f>TEXT(C203,"aaa")</f>
        <v/>
      </c>
      <c r="F203" s="0">
        <f>IF(E203=0,"",(E203-G203))</f>
        <v/>
      </c>
      <c r="J203" s="0">
        <f>IF(H203=0,"",(H203-I203))</f>
        <v/>
      </c>
      <c r="K203" s="0">
        <f>IF(E203=0,"",(J203/E203))</f>
        <v/>
      </c>
      <c r="T203" s="48" t="n"/>
      <c r="V203" s="48" t="n"/>
      <c r="W203" s="48" t="n"/>
    </row>
    <row r="204">
      <c r="C204" s="1" t="n">
        <v>45947</v>
      </c>
      <c r="D204" s="1">
        <f>TEXT(C204,"aaa")</f>
        <v/>
      </c>
      <c r="F204" s="0">
        <f>IF(E204=0,"",(E204-G204))</f>
        <v/>
      </c>
      <c r="J204" s="0">
        <f>IF(H204=0,"",(H204-I204))</f>
        <v/>
      </c>
      <c r="K204" s="0">
        <f>IF(E204=0,"",(J204/E204))</f>
        <v/>
      </c>
      <c r="T204" s="48" t="n"/>
      <c r="V204" s="48" t="n"/>
      <c r="W204" s="48" t="n"/>
    </row>
    <row r="205">
      <c r="C205" s="1" t="n">
        <v>45948</v>
      </c>
      <c r="D205" s="1">
        <f>TEXT(C205,"aaa")</f>
        <v/>
      </c>
      <c r="F205" s="0">
        <f>IF(E205=0,"",(E205-G205))</f>
        <v/>
      </c>
      <c r="J205" s="0">
        <f>IF(H205=0,"",(H205-I205))</f>
        <v/>
      </c>
      <c r="K205" s="0">
        <f>IF(E205=0,"",(J205/E205))</f>
        <v/>
      </c>
      <c r="T205" s="48" t="n"/>
      <c r="V205" s="48" t="n"/>
      <c r="W205" s="48" t="n"/>
    </row>
    <row r="206">
      <c r="C206" s="1" t="n">
        <v>45949</v>
      </c>
      <c r="D206" s="1">
        <f>TEXT(C206,"aaa")</f>
        <v/>
      </c>
      <c r="F206" s="0">
        <f>IF(E206=0,"",(E206-G206))</f>
        <v/>
      </c>
      <c r="J206" s="0">
        <f>IF(H206=0,"",(H206-I206))</f>
        <v/>
      </c>
      <c r="K206" s="0">
        <f>IF(E206=0,"",(J206/E206))</f>
        <v/>
      </c>
      <c r="T206" s="48" t="n"/>
      <c r="V206" s="48" t="n"/>
      <c r="W206" s="48" t="n"/>
    </row>
    <row r="207">
      <c r="C207" s="1" t="n">
        <v>45950</v>
      </c>
      <c r="D207" s="1">
        <f>TEXT(C207,"aaa")</f>
        <v/>
      </c>
      <c r="F207" s="0">
        <f>IF(E207=0,"",(E207-G207))</f>
        <v/>
      </c>
      <c r="J207" s="0">
        <f>IF(H207=0,"",(H207-I207))</f>
        <v/>
      </c>
      <c r="K207" s="0">
        <f>IF(E207=0,"",(J207/E207))</f>
        <v/>
      </c>
      <c r="T207" s="48" t="n"/>
      <c r="V207" s="48" t="n"/>
      <c r="W207" s="48" t="n"/>
    </row>
    <row r="208">
      <c r="C208" s="1" t="n">
        <v>45951</v>
      </c>
      <c r="D208" s="1">
        <f>TEXT(C208,"aaa")</f>
        <v/>
      </c>
      <c r="F208" s="0">
        <f>IF(E208=0,"",(E208-G208))</f>
        <v/>
      </c>
      <c r="J208" s="0">
        <f>IF(H208=0,"",(H208-I208))</f>
        <v/>
      </c>
      <c r="K208" s="0">
        <f>IF(E208=0,"",(J208/E208))</f>
        <v/>
      </c>
      <c r="T208" s="48" t="n"/>
      <c r="V208" s="48" t="n"/>
      <c r="W208" s="48" t="n"/>
    </row>
    <row r="209">
      <c r="C209" s="1" t="n">
        <v>45951</v>
      </c>
      <c r="D209" s="1">
        <f>TEXT(C209,"aaa")</f>
        <v/>
      </c>
      <c r="F209" s="0">
        <f>IF(E209=0,"",(E209-G209))</f>
        <v/>
      </c>
      <c r="J209" s="0">
        <f>IF(H209=0,"",(H209-I209))</f>
        <v/>
      </c>
      <c r="K209" s="0">
        <f>IF(E209=0,"",(J209/E209))</f>
        <v/>
      </c>
      <c r="T209" s="48" t="n"/>
      <c r="V209" s="48" t="n"/>
      <c r="W209" s="48" t="n"/>
    </row>
    <row r="210">
      <c r="C210" s="1" t="n">
        <v>45953</v>
      </c>
      <c r="D210" s="1">
        <f>TEXT(C210,"aaa")</f>
        <v/>
      </c>
      <c r="F210" s="0">
        <f>IF(E210=0,"",(E210-G210))</f>
        <v/>
      </c>
      <c r="J210" s="0">
        <f>IF(H210=0,"",(H210-I210))</f>
        <v/>
      </c>
      <c r="K210" s="0">
        <f>IF(E210=0,"",(J210/E210))</f>
        <v/>
      </c>
      <c r="T210" s="48" t="n"/>
      <c r="V210" s="48" t="n"/>
      <c r="W210" s="48" t="n"/>
    </row>
    <row r="211">
      <c r="C211" s="1" t="n">
        <v>45954</v>
      </c>
      <c r="D211" s="1">
        <f>TEXT(C211,"aaa")</f>
        <v/>
      </c>
      <c r="F211" s="0">
        <f>IF(E211=0,"",(E211-G211))</f>
        <v/>
      </c>
      <c r="J211" s="0">
        <f>IF(H211=0,"",(H211-I211))</f>
        <v/>
      </c>
      <c r="K211" s="0">
        <f>IF(E211=0,"",(J211/E211))</f>
        <v/>
      </c>
      <c r="T211" s="48" t="n"/>
      <c r="V211" s="48" t="n"/>
      <c r="W211" s="48" t="n"/>
    </row>
    <row r="212">
      <c r="C212" s="1" t="n">
        <v>45955</v>
      </c>
      <c r="D212" s="1">
        <f>TEXT(C212,"aaa")</f>
        <v/>
      </c>
      <c r="F212" s="0">
        <f>IF(E212=0,"",(E212-G212))</f>
        <v/>
      </c>
      <c r="J212" s="0">
        <f>IF(H212=0,"",(H212-I212))</f>
        <v/>
      </c>
      <c r="K212" s="0">
        <f>IF(E212=0,"",(J212/E212))</f>
        <v/>
      </c>
      <c r="T212" s="48" t="n"/>
      <c r="V212" s="48" t="n"/>
      <c r="W212" s="48" t="n"/>
    </row>
    <row r="213">
      <c r="C213" s="1" t="n">
        <v>45956</v>
      </c>
      <c r="D213" s="1">
        <f>TEXT(C213,"aaa")</f>
        <v/>
      </c>
      <c r="F213" s="0">
        <f>IF(E213=0,"",(E213-G213))</f>
        <v/>
      </c>
      <c r="J213" s="0">
        <f>IF(H213=0,"",(H213-I213))</f>
        <v/>
      </c>
      <c r="K213" s="0">
        <f>IF(E213=0,"",(J213/E213))</f>
        <v/>
      </c>
      <c r="T213" s="48" t="n"/>
      <c r="V213" s="48" t="n"/>
      <c r="W213" s="48" t="n"/>
    </row>
    <row r="214">
      <c r="C214" s="1" t="n">
        <v>45957</v>
      </c>
      <c r="D214" s="1">
        <f>TEXT(C214,"aaa")</f>
        <v/>
      </c>
      <c r="F214" s="0">
        <f>IF(E214=0,"",(E214-G214))</f>
        <v/>
      </c>
      <c r="J214" s="0">
        <f>IF(H214=0,"",(H214-I214))</f>
        <v/>
      </c>
      <c r="K214" s="0">
        <f>IF(E214=0,"",(J214/E214))</f>
        <v/>
      </c>
      <c r="M214" s="60" t="n"/>
      <c r="T214" s="48" t="n"/>
      <c r="V214" s="48" t="n"/>
      <c r="W214" s="48" t="n"/>
    </row>
    <row r="215">
      <c r="C215" s="1" t="n">
        <v>45958</v>
      </c>
      <c r="D215" s="1">
        <f>TEXT(C215,"aaa")</f>
        <v/>
      </c>
      <c r="F215" s="0">
        <f>IF(E215=0,"",(E215-G215))</f>
        <v/>
      </c>
      <c r="J215" s="0">
        <f>IF(H215=0,"",(H215-I215))</f>
        <v/>
      </c>
      <c r="K215" s="0">
        <f>IF(E215=0,"",(J215/E215))</f>
        <v/>
      </c>
      <c r="M215" s="48" t="n"/>
      <c r="T215" s="48" t="n"/>
      <c r="V215" s="48" t="n"/>
      <c r="W215" s="48" t="n"/>
    </row>
    <row r="216">
      <c r="C216" s="1" t="n">
        <v>45959</v>
      </c>
      <c r="D216" s="1">
        <f>TEXT(C216,"aaa")</f>
        <v/>
      </c>
      <c r="F216" s="0">
        <f>IF(E216=0,"",(E216-G216))</f>
        <v/>
      </c>
      <c r="J216" s="0">
        <f>IF(H216=0,"",(H216-I216))</f>
        <v/>
      </c>
      <c r="K216" s="0">
        <f>IF(E216=0,"",(J216/E216))</f>
        <v/>
      </c>
      <c r="M216" s="48" t="n"/>
      <c r="T216" s="48" t="n"/>
      <c r="V216" s="48" t="n"/>
      <c r="W216" s="48" t="n"/>
    </row>
    <row r="217">
      <c r="C217" s="1" t="n">
        <v>45960</v>
      </c>
      <c r="D217" s="1">
        <f>TEXT(C217,"aaa")</f>
        <v/>
      </c>
      <c r="F217" s="0">
        <f>IF(E217=0,"",(E217-G217))</f>
        <v/>
      </c>
      <c r="J217" s="0">
        <f>IF(H217=0,"",(H217-I217))</f>
        <v/>
      </c>
      <c r="K217" s="0">
        <f>IF(E217=0,"",(J217/E217))</f>
        <v/>
      </c>
      <c r="M217" s="60" t="n"/>
      <c r="T217" s="48" t="n"/>
      <c r="V217" s="48" t="n"/>
      <c r="W217" s="48" t="n"/>
    </row>
    <row r="218" ht="18.6" customHeight="1" s="47" thickBot="1">
      <c r="A218" s="8" t="n"/>
      <c r="B218" s="8" t="n"/>
      <c r="C218" s="9" t="n">
        <v>45961</v>
      </c>
      <c r="D218" s="1">
        <f>TEXT(C218,"aaa")</f>
        <v/>
      </c>
      <c r="E218" s="8" t="n"/>
      <c r="F218" s="0">
        <f>IF(E218=0,"",(E218-G218))</f>
        <v/>
      </c>
      <c r="G218" s="8" t="n"/>
      <c r="H218" s="8" t="n"/>
      <c r="I218" s="8" t="n"/>
      <c r="J218" s="0">
        <f>IF(H218=0,"",(H218-I218))</f>
        <v/>
      </c>
      <c r="K218" s="0">
        <f>IF(E218=0,"",(J218/E218))</f>
        <v/>
      </c>
      <c r="L218" s="8" t="n"/>
      <c r="M218" s="8" t="n"/>
      <c r="N218" s="8" t="n"/>
      <c r="O218" s="8" t="n"/>
      <c r="P218" s="8" t="n"/>
      <c r="Q218" s="8" t="n"/>
      <c r="R218" s="8" t="n"/>
      <c r="T218" s="48" t="n"/>
      <c r="V218" s="48" t="n"/>
      <c r="W218" s="48" t="n"/>
      <c r="X218" s="8" t="n"/>
      <c r="Y218" s="8" t="n"/>
    </row>
    <row r="219">
      <c r="C219" s="1" t="n">
        <v>45962</v>
      </c>
      <c r="D219" s="1">
        <f>TEXT(C219,"aaa")</f>
        <v/>
      </c>
      <c r="F219" s="0">
        <f>IF(E219=0,"",(E219-G219))</f>
        <v/>
      </c>
      <c r="J219" s="0">
        <f>IF(H219=0,"",(H219-I219))</f>
        <v/>
      </c>
      <c r="K219" s="0">
        <f>IF(E219=0,"",(J219/E219))</f>
        <v/>
      </c>
      <c r="T219" s="48" t="n"/>
      <c r="V219" s="48" t="n"/>
      <c r="W219" s="48" t="n"/>
    </row>
    <row r="220">
      <c r="C220" s="1" t="n">
        <v>45963</v>
      </c>
      <c r="D220" s="1">
        <f>TEXT(C220,"aaa")</f>
        <v/>
      </c>
      <c r="F220" s="0">
        <f>IF(E220=0,"",(E220-G220))</f>
        <v/>
      </c>
      <c r="J220" s="0">
        <f>IF(H220=0,"",(H220-I220))</f>
        <v/>
      </c>
      <c r="K220" s="0">
        <f>IF(E220=0,"",(J220/E220))</f>
        <v/>
      </c>
      <c r="T220" s="48" t="n"/>
      <c r="V220" s="48" t="n"/>
      <c r="W220" s="48" t="n"/>
    </row>
    <row r="221">
      <c r="C221" s="1" t="n">
        <v>45964</v>
      </c>
      <c r="D221" s="1">
        <f>TEXT(C221,"aaa")</f>
        <v/>
      </c>
      <c r="F221" s="0">
        <f>IF(E221=0,"",(E221-G221))</f>
        <v/>
      </c>
      <c r="J221" s="0">
        <f>IF(H221=0,"",(H221-I221))</f>
        <v/>
      </c>
      <c r="K221" s="0">
        <f>IF(E221=0,"",(J221/E221))</f>
        <v/>
      </c>
      <c r="M221" s="48" t="n"/>
      <c r="T221" s="48" t="n"/>
      <c r="U221" s="48" t="n"/>
      <c r="V221" s="48" t="n"/>
      <c r="W221" s="48" t="n"/>
    </row>
    <row r="222">
      <c r="C222" s="1" t="n">
        <v>45965</v>
      </c>
      <c r="D222" s="1">
        <f>TEXT(C222,"aaa")</f>
        <v/>
      </c>
      <c r="F222" s="0">
        <f>IF(E222=0,"",(E222-G222))</f>
        <v/>
      </c>
      <c r="J222" s="0">
        <f>IF(H222=0,"",(H222-I222))</f>
        <v/>
      </c>
      <c r="K222" s="0">
        <f>IF(E222=0,"",(J222/E222))</f>
        <v/>
      </c>
      <c r="M222" s="48" t="n"/>
      <c r="T222" s="48" t="n"/>
      <c r="U222" s="48" t="n"/>
      <c r="V222" s="48" t="n"/>
      <c r="W222" s="48" t="n"/>
    </row>
    <row r="223">
      <c r="C223" s="1" t="n">
        <v>45965</v>
      </c>
      <c r="D223" s="1">
        <f>TEXT(C223,"aaa")</f>
        <v/>
      </c>
      <c r="F223" s="0">
        <f>IF(E223=0,"",(E223-G223))</f>
        <v/>
      </c>
      <c r="J223" s="0">
        <f>IF(H223=0,"",(H223-I223))</f>
        <v/>
      </c>
      <c r="K223" s="0">
        <f>IF(E223=0,"",(J223/E223))</f>
        <v/>
      </c>
      <c r="M223" s="48" t="n"/>
      <c r="T223" s="48" t="n"/>
      <c r="U223" s="48" t="n"/>
      <c r="V223" s="48" t="n"/>
      <c r="W223" s="48" t="n"/>
    </row>
    <row r="224">
      <c r="C224" s="1" t="n">
        <v>45967</v>
      </c>
      <c r="D224" s="1">
        <f>TEXT(C224,"aaa")</f>
        <v/>
      </c>
      <c r="F224" s="0">
        <f>IF(E224=0,"",(E224-G224))</f>
        <v/>
      </c>
      <c r="J224" s="0">
        <f>IF(H224=0,"",(H224-I224))</f>
        <v/>
      </c>
      <c r="K224" s="0">
        <f>IF(E224=0,"",(J224/E224))</f>
        <v/>
      </c>
      <c r="L224" s="61" t="n"/>
      <c r="T224" s="48" t="n"/>
      <c r="U224" s="48" t="n"/>
      <c r="V224" s="48" t="n"/>
      <c r="W224" s="48" t="n"/>
    </row>
    <row r="225">
      <c r="C225" s="1" t="n">
        <v>45968</v>
      </c>
      <c r="D225" s="1">
        <f>TEXT(C225,"aaa")</f>
        <v/>
      </c>
      <c r="F225" s="0">
        <f>IF(E225=0,"",(E225-G225))</f>
        <v/>
      </c>
      <c r="J225" s="0">
        <f>IF(H225=0,"",(H225-I225))</f>
        <v/>
      </c>
      <c r="K225" s="0">
        <f>IF(E225=0,"",(J225/E225))</f>
        <v/>
      </c>
      <c r="T225" s="48" t="n"/>
      <c r="U225" s="48" t="n"/>
      <c r="V225" s="48" t="n"/>
      <c r="W225" s="48" t="n"/>
    </row>
    <row r="226">
      <c r="C226" s="1" t="n">
        <v>45969</v>
      </c>
      <c r="D226" s="1">
        <f>TEXT(C226,"aaa")</f>
        <v/>
      </c>
      <c r="F226" s="0">
        <f>IF(E226=0,"",(E226-G226))</f>
        <v/>
      </c>
      <c r="J226" s="0">
        <f>IF(H226=0,"",(H226-I226))</f>
        <v/>
      </c>
      <c r="K226" s="0">
        <f>IF(E226=0,"",(J226/E226))</f>
        <v/>
      </c>
      <c r="T226" s="48" t="n"/>
      <c r="U226" s="48" t="n"/>
      <c r="V226" s="48" t="n"/>
      <c r="W226" s="48" t="n"/>
    </row>
    <row r="227">
      <c r="C227" s="1" t="n">
        <v>45970</v>
      </c>
      <c r="D227" s="1">
        <f>TEXT(C227,"aaa")</f>
        <v/>
      </c>
      <c r="F227" s="0">
        <f>IF(E227=0,"",(E227-G227))</f>
        <v/>
      </c>
      <c r="J227" s="0">
        <f>IF(H227=0,"",(H227-I227))</f>
        <v/>
      </c>
      <c r="K227" s="0">
        <f>IF(E227=0,"",(J227/E227))</f>
        <v/>
      </c>
      <c r="T227" s="48" t="n"/>
      <c r="U227" s="48" t="n"/>
      <c r="V227" s="48" t="n"/>
      <c r="W227" s="48" t="n"/>
    </row>
    <row r="228">
      <c r="C228" s="1" t="n">
        <v>45971</v>
      </c>
      <c r="D228" s="1">
        <f>TEXT(C228,"aaa")</f>
        <v/>
      </c>
      <c r="F228" s="0">
        <f>IF(E228=0,"",(E228-G228))</f>
        <v/>
      </c>
      <c r="J228" s="0">
        <f>IF(H228=0,"",(H228-I228))</f>
        <v/>
      </c>
      <c r="K228" s="0">
        <f>IF(E228=0,"",(J228/E228))</f>
        <v/>
      </c>
      <c r="T228" s="48" t="n"/>
      <c r="U228" s="48" t="n"/>
      <c r="V228" s="48" t="n"/>
      <c r="W228" s="48" t="n"/>
    </row>
    <row r="229">
      <c r="C229" s="1" t="n">
        <v>45972</v>
      </c>
      <c r="D229" s="1">
        <f>TEXT(C229,"aaa")</f>
        <v/>
      </c>
      <c r="F229" s="0">
        <f>IF(E229=0,"",(E229-G229))</f>
        <v/>
      </c>
      <c r="J229" s="0">
        <f>IF(H229=0,"",(H229-I229))</f>
        <v/>
      </c>
      <c r="K229" s="0">
        <f>IF(E229=0,"",(J229/E229))</f>
        <v/>
      </c>
      <c r="M229" s="48" t="n"/>
      <c r="T229" s="48" t="n"/>
      <c r="U229" s="48" t="n"/>
      <c r="V229" s="48" t="n"/>
      <c r="W229" s="48" t="n"/>
    </row>
    <row r="230">
      <c r="C230" s="1" t="n">
        <v>45972</v>
      </c>
      <c r="D230" s="1">
        <f>TEXT(C230,"aaa")</f>
        <v/>
      </c>
      <c r="F230" s="0">
        <f>IF(E230=0,"",(E230-G230))</f>
        <v/>
      </c>
      <c r="J230" s="0">
        <f>IF(H230=0,"",(H230-I230))</f>
        <v/>
      </c>
      <c r="K230" s="0">
        <f>IF(E230=0,"",(J230/E230))</f>
        <v/>
      </c>
      <c r="T230" s="48" t="n"/>
      <c r="U230" s="48" t="n"/>
      <c r="V230" s="48" t="n"/>
      <c r="W230" s="48" t="n"/>
    </row>
    <row r="231">
      <c r="C231" s="1" t="n">
        <v>45974</v>
      </c>
      <c r="D231" s="1">
        <f>TEXT(C231,"aaa")</f>
        <v/>
      </c>
      <c r="F231" s="0">
        <f>IF(E231=0,"",(E231-G231))</f>
        <v/>
      </c>
      <c r="J231" s="0">
        <f>IF(H231=0,"",(H231-I231))</f>
        <v/>
      </c>
      <c r="K231" s="0">
        <f>IF(E231=0,"",(J231/E231))</f>
        <v/>
      </c>
      <c r="T231" s="48" t="n"/>
      <c r="U231" s="48" t="n"/>
      <c r="V231" s="48" t="n"/>
      <c r="W231" s="48" t="n"/>
    </row>
    <row r="232">
      <c r="C232" s="1" t="n">
        <v>45975</v>
      </c>
      <c r="D232" s="1">
        <f>TEXT(C232,"aaa")</f>
        <v/>
      </c>
      <c r="F232" s="0">
        <f>IF(E232=0,"",(E232-G232))</f>
        <v/>
      </c>
      <c r="J232" s="0">
        <f>IF(H232=0,"",(H232-I232))</f>
        <v/>
      </c>
      <c r="K232" s="0">
        <f>IF(E232=0,"",(J232/E232))</f>
        <v/>
      </c>
      <c r="T232" s="48" t="n"/>
      <c r="U232" s="48" t="n"/>
      <c r="V232" s="48" t="n"/>
      <c r="W232" s="48" t="n"/>
    </row>
    <row r="233">
      <c r="C233" s="1" t="n">
        <v>45976</v>
      </c>
      <c r="D233" s="1">
        <f>TEXT(C233,"aaa")</f>
        <v/>
      </c>
      <c r="F233" s="0">
        <f>IF(E233=0,"",(E233-G233))</f>
        <v/>
      </c>
      <c r="J233" s="0">
        <f>IF(H233=0,"",(H233-I233))</f>
        <v/>
      </c>
      <c r="K233" s="0">
        <f>IF(E233=0,"",(J233/E233))</f>
        <v/>
      </c>
      <c r="T233" s="48" t="n"/>
      <c r="U233" s="48" t="n"/>
      <c r="V233" s="48" t="n"/>
      <c r="W233" s="48" t="n"/>
    </row>
    <row r="234">
      <c r="C234" s="1" t="n">
        <v>45977</v>
      </c>
      <c r="D234" s="1">
        <f>TEXT(C234,"aaa")</f>
        <v/>
      </c>
      <c r="F234" s="0">
        <f>IF(E234=0,"",(E234-G234))</f>
        <v/>
      </c>
      <c r="J234" s="0">
        <f>IF(H234=0,"",(H234-I234))</f>
        <v/>
      </c>
      <c r="K234" s="0">
        <f>IF(E234=0,"",(J234/E234))</f>
        <v/>
      </c>
      <c r="T234" s="48" t="n"/>
      <c r="U234" s="48" t="n"/>
      <c r="V234" s="48" t="n"/>
      <c r="W234" s="48" t="n"/>
    </row>
    <row r="235">
      <c r="C235" s="1" t="n">
        <v>45978</v>
      </c>
      <c r="D235" s="1">
        <f>TEXT(C235,"aaa")</f>
        <v/>
      </c>
      <c r="F235" s="0">
        <f>IF(E235=0,"",(E235-G235))</f>
        <v/>
      </c>
      <c r="J235" s="0">
        <f>IF(H235=0,"",(H235-I235))</f>
        <v/>
      </c>
      <c r="K235" s="0">
        <f>IF(E235=0,"",(J235/E235))</f>
        <v/>
      </c>
      <c r="T235" s="48" t="n"/>
      <c r="U235" s="48" t="n"/>
      <c r="V235" s="48" t="n"/>
      <c r="W235" s="48" t="n"/>
    </row>
    <row r="236">
      <c r="C236" s="1" t="n">
        <v>45979</v>
      </c>
      <c r="D236" s="1">
        <f>TEXT(C236,"aaa")</f>
        <v/>
      </c>
      <c r="F236" s="0">
        <f>IF(E236=0,"",(E236-G236))</f>
        <v/>
      </c>
      <c r="J236" s="0">
        <f>IF(H236=0,"",(H236-I236))</f>
        <v/>
      </c>
      <c r="K236" s="0">
        <f>IF(E236=0,"",(J236/E236))</f>
        <v/>
      </c>
      <c r="T236" s="48" t="n"/>
      <c r="U236" s="48" t="n"/>
      <c r="V236" s="48" t="n"/>
      <c r="W236" s="48" t="n"/>
    </row>
    <row r="237">
      <c r="C237" s="1" t="n">
        <v>45979</v>
      </c>
      <c r="D237" s="1">
        <f>TEXT(C237,"aaa")</f>
        <v/>
      </c>
      <c r="F237" s="0">
        <f>IF(E237=0,"",(E237-G237))</f>
        <v/>
      </c>
      <c r="J237" s="0">
        <f>IF(H237=0,"",(H237-I237))</f>
        <v/>
      </c>
      <c r="K237" s="0">
        <f>IF(E237=0,"",(J237/E237))</f>
        <v/>
      </c>
      <c r="T237" s="48" t="n"/>
      <c r="U237" s="48" t="n"/>
      <c r="V237" s="48" t="n"/>
      <c r="W237" s="48" t="n"/>
    </row>
    <row r="238">
      <c r="C238" s="1" t="n">
        <v>45981</v>
      </c>
      <c r="D238" s="1">
        <f>TEXT(C238,"aaa")</f>
        <v/>
      </c>
      <c r="F238" s="0">
        <f>IF(E238=0,"",(E238-G238))</f>
        <v/>
      </c>
      <c r="J238" s="0">
        <f>IF(H238=0,"",(H238-I238))</f>
        <v/>
      </c>
      <c r="K238" s="0">
        <f>IF(E238=0,"",(J238/E238))</f>
        <v/>
      </c>
      <c r="T238" s="48" t="n"/>
      <c r="U238" s="48" t="n"/>
      <c r="V238" s="48" t="n"/>
      <c r="W238" s="48" t="n"/>
    </row>
    <row r="239">
      <c r="C239" s="1" t="n">
        <v>45982</v>
      </c>
      <c r="D239" s="1">
        <f>TEXT(C239,"aaa")</f>
        <v/>
      </c>
      <c r="F239" s="0">
        <f>IF(E239=0,"",(E239-G239))</f>
        <v/>
      </c>
      <c r="J239" s="0">
        <f>IF(H239=0,"",(H239-I239))</f>
        <v/>
      </c>
      <c r="K239" s="0">
        <f>IF(E239=0,"",(J239/E239))</f>
        <v/>
      </c>
      <c r="T239" s="48" t="n"/>
      <c r="U239" s="48" t="n"/>
      <c r="V239" s="48" t="n"/>
      <c r="W239" s="48" t="n"/>
    </row>
    <row r="240">
      <c r="C240" s="1" t="n">
        <v>45983</v>
      </c>
      <c r="D240" s="1">
        <f>TEXT(C240,"aaa")</f>
        <v/>
      </c>
      <c r="F240" s="0">
        <f>IF(E240=0,"",(E240-G240))</f>
        <v/>
      </c>
      <c r="J240" s="0">
        <f>IF(H240=0,"",(H240-I240))</f>
        <v/>
      </c>
      <c r="K240" s="0">
        <f>IF(E240=0,"",(J240/E240))</f>
        <v/>
      </c>
      <c r="T240" s="48" t="n"/>
      <c r="U240" s="48" t="n"/>
      <c r="V240" s="48" t="n"/>
      <c r="W240" s="48" t="n"/>
    </row>
    <row r="241">
      <c r="C241" s="1" t="n">
        <v>45984</v>
      </c>
      <c r="D241" s="1">
        <f>TEXT(C241,"aaa")</f>
        <v/>
      </c>
      <c r="F241" s="0">
        <f>IF(E241=0,"",(E241-G241))</f>
        <v/>
      </c>
      <c r="J241" s="0">
        <f>IF(H241=0,"",(H241-I241))</f>
        <v/>
      </c>
      <c r="K241" s="0">
        <f>IF(E241=0,"",(J241/E241))</f>
        <v/>
      </c>
      <c r="T241" s="48" t="n"/>
      <c r="U241" s="48" t="n"/>
      <c r="V241" s="48" t="n"/>
      <c r="W241" s="48" t="n"/>
    </row>
    <row r="242">
      <c r="C242" s="1" t="n">
        <v>45985</v>
      </c>
      <c r="D242" s="1">
        <f>TEXT(C242,"aaa")</f>
        <v/>
      </c>
      <c r="F242" s="0">
        <f>IF(E242=0,"",(E242-G242))</f>
        <v/>
      </c>
      <c r="J242" s="0">
        <f>IF(H242=0,"",(H242-I242))</f>
        <v/>
      </c>
      <c r="K242" s="0">
        <f>IF(E242=0,"",(J242/E242))</f>
        <v/>
      </c>
      <c r="T242" s="48" t="n"/>
      <c r="U242" s="48" t="n"/>
      <c r="V242" s="48" t="n"/>
      <c r="W242" s="48" t="n"/>
    </row>
    <row r="243">
      <c r="C243" s="1" t="n">
        <v>45986</v>
      </c>
      <c r="D243" s="1">
        <f>TEXT(C243,"aaa")</f>
        <v/>
      </c>
      <c r="F243" s="0">
        <f>IF(E243=0,"",(E243-G243))</f>
        <v/>
      </c>
      <c r="J243" s="0">
        <f>IF(H243=0,"",(H243-I243))</f>
        <v/>
      </c>
      <c r="K243" s="0">
        <f>IF(E243=0,"",(J243/E243))</f>
        <v/>
      </c>
      <c r="T243" s="48" t="n"/>
      <c r="U243" s="48" t="n"/>
      <c r="V243" s="48" t="n"/>
      <c r="W243" s="48" t="n"/>
    </row>
    <row r="244">
      <c r="C244" s="1" t="n">
        <v>45986</v>
      </c>
      <c r="D244" s="1">
        <f>TEXT(C244,"aaa")</f>
        <v/>
      </c>
      <c r="F244" s="0">
        <f>IF(E244=0,"",(E244-G244))</f>
        <v/>
      </c>
      <c r="J244" s="0">
        <f>IF(H244=0,"",(H244-I244))</f>
        <v/>
      </c>
      <c r="K244" s="0">
        <f>IF(E244=0,"",(J244/E244))</f>
        <v/>
      </c>
      <c r="T244" s="48" t="n"/>
      <c r="U244" s="48" t="n"/>
      <c r="V244" s="48" t="n"/>
      <c r="W244" s="48" t="n"/>
    </row>
    <row r="245">
      <c r="C245" s="1" t="n">
        <v>45988</v>
      </c>
      <c r="D245" s="1">
        <f>TEXT(C245,"aaa")</f>
        <v/>
      </c>
      <c r="F245" s="0">
        <f>IF(E245=0,"",(E245-G245))</f>
        <v/>
      </c>
      <c r="J245" s="0">
        <f>IF(H245=0,"",(H245-I245))</f>
        <v/>
      </c>
      <c r="K245" s="0">
        <f>IF(E245=0,"",(J245/E245))</f>
        <v/>
      </c>
      <c r="T245" s="48" t="n"/>
      <c r="U245" s="48" t="n"/>
      <c r="V245" s="48" t="n"/>
      <c r="W245" s="48" t="n"/>
    </row>
    <row r="246">
      <c r="C246" s="1" t="n">
        <v>45989</v>
      </c>
      <c r="D246" s="1">
        <f>TEXT(C246,"aaa")</f>
        <v/>
      </c>
      <c r="F246" s="0">
        <f>IF(E246=0,"",(E246-G246))</f>
        <v/>
      </c>
      <c r="J246" s="0">
        <f>IF(H246=0,"",(H246-I246))</f>
        <v/>
      </c>
      <c r="K246" s="0">
        <f>IF(E246=0,"",(J246/E246))</f>
        <v/>
      </c>
      <c r="T246" s="48" t="n"/>
      <c r="U246" s="48" t="n"/>
      <c r="V246" s="48" t="n"/>
      <c r="W246" s="48" t="n"/>
    </row>
    <row r="247">
      <c r="C247" s="1" t="n">
        <v>45989</v>
      </c>
      <c r="D247" s="1">
        <f>TEXT(C247,"aaa")</f>
        <v/>
      </c>
      <c r="F247" s="0">
        <f>IF(E247=0,"",(E247-G247))</f>
        <v/>
      </c>
      <c r="J247" s="0">
        <f>IF(H247=0,"",(H247-I247))</f>
        <v/>
      </c>
      <c r="K247" s="0">
        <f>IF(E247=0,"",(J247/E247))</f>
        <v/>
      </c>
      <c r="T247" s="48" t="n"/>
      <c r="U247" s="48" t="n"/>
      <c r="V247" s="48" t="n"/>
      <c r="W247" s="48" t="n"/>
    </row>
    <row r="248" ht="18.6" customHeight="1" s="47" thickBot="1">
      <c r="A248" s="8" t="n"/>
      <c r="B248" s="8" t="n"/>
      <c r="C248" s="9" t="n">
        <v>45991</v>
      </c>
      <c r="D248" s="1">
        <f>TEXT(C248,"aaa")</f>
        <v/>
      </c>
      <c r="E248" s="8" t="n"/>
      <c r="F248" s="0">
        <f>IF(E248=0,"",(E248-G248))</f>
        <v/>
      </c>
      <c r="G248" s="8" t="n"/>
      <c r="H248" s="8" t="n"/>
      <c r="I248" s="8" t="n"/>
      <c r="J248" s="0">
        <f>IF(H248=0,"",(H248-I248))</f>
        <v/>
      </c>
      <c r="K248" s="0">
        <f>IF(E248=0,"",(J248/E248))</f>
        <v/>
      </c>
      <c r="L248" s="8" t="n"/>
      <c r="M248" s="8" t="n"/>
      <c r="N248" s="8" t="n"/>
      <c r="O248" s="8" t="n"/>
      <c r="P248" s="8" t="n"/>
      <c r="Q248" s="8" t="n"/>
      <c r="R248" s="8" t="n"/>
      <c r="T248" s="48" t="n"/>
      <c r="U248" s="48" t="n"/>
      <c r="V248" s="48" t="n"/>
      <c r="W248" s="48" t="n"/>
      <c r="X248" s="8" t="n"/>
      <c r="Y248" s="8" t="n"/>
    </row>
    <row r="249">
      <c r="C249" s="1" t="n">
        <v>45992</v>
      </c>
      <c r="D249" s="1">
        <f>TEXT(C249,"aaa")</f>
        <v/>
      </c>
      <c r="F249" s="0">
        <f>IF(E249=0,"",(E249-G249))</f>
        <v/>
      </c>
      <c r="J249" s="0">
        <f>IF(H249=0,"",(H249-I249))</f>
        <v/>
      </c>
      <c r="K249" s="0">
        <f>IF(E249=0,"",(J249/E249))</f>
        <v/>
      </c>
      <c r="T249" s="48" t="n"/>
      <c r="U249" s="48" t="n"/>
      <c r="V249" s="48" t="n"/>
      <c r="W249" s="48" t="n"/>
    </row>
    <row r="250">
      <c r="C250" s="1" t="n">
        <v>45993</v>
      </c>
      <c r="D250" s="1">
        <f>TEXT(C250,"aaa")</f>
        <v/>
      </c>
      <c r="F250" s="0">
        <f>IF(E250=0,"",(E250-G250))</f>
        <v/>
      </c>
      <c r="J250" s="0">
        <f>IF(H250=0,"",(H250-I250))</f>
        <v/>
      </c>
      <c r="K250" s="0">
        <f>IF(E250=0,"",(J250/E250))</f>
        <v/>
      </c>
      <c r="T250" s="48" t="n"/>
      <c r="U250" s="48" t="n"/>
      <c r="V250" s="48" t="n"/>
      <c r="W250" s="48" t="n"/>
    </row>
    <row r="251">
      <c r="C251" s="1" t="n">
        <v>45993</v>
      </c>
      <c r="D251" s="1">
        <f>TEXT(C251,"aaa")</f>
        <v/>
      </c>
      <c r="F251" s="0">
        <f>IF(E251=0,"",(E251-G251))</f>
        <v/>
      </c>
      <c r="J251" s="0">
        <f>IF(H251=0,"",(H251-I251))</f>
        <v/>
      </c>
      <c r="K251" s="0">
        <f>IF(E251=0,"",(J251/E251))</f>
        <v/>
      </c>
      <c r="T251" s="48" t="n"/>
      <c r="U251" s="48" t="n"/>
      <c r="V251" s="48" t="n"/>
      <c r="W251" s="48" t="n"/>
    </row>
    <row r="252">
      <c r="C252" s="1" t="n">
        <v>45994</v>
      </c>
      <c r="D252" s="1">
        <f>TEXT(C252,"aaa")</f>
        <v/>
      </c>
      <c r="F252" s="0">
        <f>IF(E252=0,"",(E252-G252))</f>
        <v/>
      </c>
      <c r="J252" s="0">
        <f>IF(H252=0,"",(H252-I252))</f>
        <v/>
      </c>
      <c r="K252" s="0">
        <f>IF(E252=0,"",(J252/E252))</f>
        <v/>
      </c>
      <c r="T252" s="48" t="n"/>
      <c r="U252" s="48" t="n"/>
      <c r="V252" s="48" t="n"/>
      <c r="W252" s="48" t="n"/>
    </row>
    <row r="253">
      <c r="C253" s="1" t="n">
        <v>45995</v>
      </c>
      <c r="D253" s="1">
        <f>TEXT(C253,"aaa")</f>
        <v/>
      </c>
      <c r="F253" s="0">
        <f>IF(E253=0,"",(E253-G253))</f>
        <v/>
      </c>
      <c r="J253" s="0">
        <f>IF(H253=0,"",(H253-I253))</f>
        <v/>
      </c>
      <c r="K253" s="0">
        <f>IF(E253=0,"",(J253/E253))</f>
        <v/>
      </c>
      <c r="T253" s="48" t="n"/>
      <c r="U253" s="48" t="n"/>
      <c r="V253" s="48" t="n"/>
      <c r="W253" s="48" t="n"/>
    </row>
    <row r="254">
      <c r="C254" s="1" t="n">
        <v>45996</v>
      </c>
      <c r="D254" s="1">
        <f>TEXT(C254,"aaa")</f>
        <v/>
      </c>
      <c r="F254" s="0">
        <f>IF(E254=0,"",(E254-G254))</f>
        <v/>
      </c>
      <c r="J254" s="0">
        <f>IF(H254=0,"",(H254-I254))</f>
        <v/>
      </c>
      <c r="K254" s="0">
        <f>IF(E254=0,"",(J254/E254))</f>
        <v/>
      </c>
      <c r="T254" s="48" t="n"/>
      <c r="U254" s="48" t="n"/>
      <c r="V254" s="48" t="n"/>
      <c r="W254" s="48" t="n"/>
    </row>
    <row r="255">
      <c r="C255" s="1" t="n">
        <v>45998</v>
      </c>
      <c r="D255" s="1">
        <f>TEXT(C255,"aaa")</f>
        <v/>
      </c>
      <c r="F255" s="0">
        <f>IF(E255=0,"",(E255-G255))</f>
        <v/>
      </c>
      <c r="J255" s="0">
        <f>IF(H255=0,"",(H255-I255))</f>
        <v/>
      </c>
      <c r="K255" s="0">
        <f>IF(E255=0,"",(J255/E255))</f>
        <v/>
      </c>
      <c r="T255" s="48" t="n"/>
      <c r="U255" s="48" t="n"/>
      <c r="V255" s="48" t="n"/>
      <c r="W255" s="48" t="n"/>
    </row>
    <row r="256">
      <c r="C256" s="1" t="n">
        <v>45999</v>
      </c>
      <c r="D256" s="1">
        <f>TEXT(C256,"aaa")</f>
        <v/>
      </c>
      <c r="F256" s="0">
        <f>IF(E256=0,"",(E256-G256))</f>
        <v/>
      </c>
      <c r="J256" s="0">
        <f>IF(H256=0,"",(H256-I256))</f>
        <v/>
      </c>
      <c r="K256" s="0">
        <f>IF(E256=0,"",(J256/E256))</f>
        <v/>
      </c>
      <c r="T256" s="48" t="n"/>
      <c r="U256" s="48" t="n"/>
      <c r="V256" s="48" t="n"/>
      <c r="W256" s="48" t="n"/>
    </row>
    <row r="257">
      <c r="C257" s="1" t="n">
        <v>46000</v>
      </c>
      <c r="D257" s="1">
        <f>TEXT(C257,"aaa")</f>
        <v/>
      </c>
      <c r="F257" s="0">
        <f>IF(E257=0,"",(E257-G257))</f>
        <v/>
      </c>
      <c r="J257" s="0">
        <f>IF(H257=0,"",(H257-I257))</f>
        <v/>
      </c>
      <c r="K257" s="0">
        <f>IF(E257=0,"",(J257/E257))</f>
        <v/>
      </c>
      <c r="T257" s="48" t="n"/>
      <c r="U257" s="48" t="n"/>
      <c r="V257" s="48" t="n"/>
      <c r="W257" s="48" t="n"/>
    </row>
    <row r="258">
      <c r="C258" s="1" t="n">
        <v>46000</v>
      </c>
      <c r="D258" s="1">
        <f>TEXT(C258,"aaa")</f>
        <v/>
      </c>
      <c r="F258" s="0">
        <f>IF(E258=0,"",(E258-G258))</f>
        <v/>
      </c>
      <c r="J258" s="0">
        <f>IF(H258=0,"",(H258-I258))</f>
        <v/>
      </c>
      <c r="K258" s="0">
        <f>IF(E258=0,"",(J258/E258))</f>
        <v/>
      </c>
      <c r="T258" s="48" t="n"/>
      <c r="U258" s="48" t="n"/>
      <c r="V258" s="48" t="n"/>
      <c r="W258" s="48" t="n"/>
    </row>
    <row r="259">
      <c r="C259" s="1" t="n">
        <v>46002</v>
      </c>
      <c r="D259" s="1">
        <f>TEXT(C259,"aaa")</f>
        <v/>
      </c>
      <c r="F259" s="0">
        <f>IF(E259=0,"",(E259-G259))</f>
        <v/>
      </c>
      <c r="J259" s="0">
        <f>IF(H259=0,"",(H259-I259))</f>
        <v/>
      </c>
      <c r="K259" s="0">
        <f>IF(E259=0,"",(J259/E259))</f>
        <v/>
      </c>
      <c r="T259" s="48" t="n"/>
      <c r="U259" s="48" t="n"/>
      <c r="V259" s="48" t="n"/>
      <c r="W259" s="48" t="n"/>
    </row>
    <row r="260">
      <c r="C260" s="1" t="n">
        <v>46003</v>
      </c>
      <c r="D260" s="1">
        <f>TEXT(C260,"aaa")</f>
        <v/>
      </c>
      <c r="F260" s="0">
        <f>IF(E260=0,"",(E260-G260))</f>
        <v/>
      </c>
      <c r="J260" s="0">
        <f>IF(H260=0,"",(H260-I260))</f>
        <v/>
      </c>
      <c r="K260" s="0">
        <f>IF(E260=0,"",(J260/E260))</f>
        <v/>
      </c>
      <c r="U260" s="48" t="n"/>
      <c r="V260" s="48" t="n"/>
      <c r="W260" s="48" t="n"/>
    </row>
    <row r="261">
      <c r="C261" s="1" t="n">
        <v>46004</v>
      </c>
      <c r="D261" s="1">
        <f>TEXT(C261,"aaa")</f>
        <v/>
      </c>
      <c r="F261" s="0">
        <f>IF(E261=0,"",(E261-G261))</f>
        <v/>
      </c>
      <c r="J261" s="0">
        <f>IF(H261=0,"",(H261-I261))</f>
        <v/>
      </c>
      <c r="K261" s="0">
        <f>IF(E261=0,"",(J261/E261))</f>
        <v/>
      </c>
      <c r="U261" s="48" t="n"/>
      <c r="V261" s="48" t="n"/>
      <c r="W261" s="48" t="n"/>
    </row>
    <row r="262">
      <c r="C262" s="1" t="n">
        <v>46005</v>
      </c>
      <c r="D262" s="1">
        <f>TEXT(C262,"aaa")</f>
        <v/>
      </c>
      <c r="F262" s="0">
        <f>IF(E262=0,"",(E262-G262))</f>
        <v/>
      </c>
      <c r="J262" s="0">
        <f>IF(H262=0,"",(H262-I262))</f>
        <v/>
      </c>
      <c r="K262" s="0">
        <f>IF(E262=0,"",(J262/E262))</f>
        <v/>
      </c>
      <c r="U262" s="48" t="n"/>
      <c r="V262" s="48" t="n"/>
      <c r="W262" s="48" t="n"/>
    </row>
    <row r="263">
      <c r="C263" s="1" t="n">
        <v>46006</v>
      </c>
      <c r="D263" s="1">
        <f>TEXT(C263,"aaa")</f>
        <v/>
      </c>
      <c r="F263" s="0">
        <f>IF(E263=0,"",(E263-G263))</f>
        <v/>
      </c>
      <c r="J263" s="0">
        <f>IF(H263=0,"",(H263-I263))</f>
        <v/>
      </c>
      <c r="K263" s="0">
        <f>IF(E263=0,"",(J263/E263))</f>
        <v/>
      </c>
      <c r="U263" s="48" t="n"/>
      <c r="V263" s="48" t="n"/>
      <c r="W263" s="48" t="n"/>
    </row>
    <row r="264">
      <c r="C264" s="1" t="n">
        <v>46007</v>
      </c>
      <c r="D264" s="1">
        <f>TEXT(C264,"aaa")</f>
        <v/>
      </c>
      <c r="F264" s="0">
        <f>IF(E264=0,"",(E264-G264))</f>
        <v/>
      </c>
      <c r="J264" s="0">
        <f>IF(H264=0,"",(H264-I264))</f>
        <v/>
      </c>
      <c r="K264" s="0">
        <f>IF(E264=0,"",(J264/E264))</f>
        <v/>
      </c>
      <c r="U264" s="48" t="n"/>
      <c r="V264" s="48" t="n"/>
      <c r="W264" s="48" t="n"/>
    </row>
    <row r="265">
      <c r="C265" s="1" t="n">
        <v>46007</v>
      </c>
      <c r="D265" s="1">
        <f>TEXT(C265,"aaa")</f>
        <v/>
      </c>
      <c r="F265" s="0">
        <f>IF(E265=0,"",(E265-G265))</f>
        <v/>
      </c>
      <c r="J265" s="0">
        <f>IF(H265=0,"",(H265-I265))</f>
        <v/>
      </c>
      <c r="K265" s="0">
        <f>IF(E265=0,"",(J265/E265))</f>
        <v/>
      </c>
      <c r="U265" s="48" t="n"/>
      <c r="V265" s="48" t="n"/>
      <c r="W265" s="48" t="n"/>
    </row>
    <row r="266">
      <c r="C266" s="1" t="n">
        <v>46009</v>
      </c>
      <c r="D266" s="1">
        <f>TEXT(C266,"aaa")</f>
        <v/>
      </c>
      <c r="F266" s="0">
        <f>IF(E266=0,"",(E266-G266))</f>
        <v/>
      </c>
      <c r="J266" s="0">
        <f>IF(H266=0,"",(H266-I266))</f>
        <v/>
      </c>
      <c r="K266" s="0">
        <f>IF(E266=0,"",(J266/E266))</f>
        <v/>
      </c>
      <c r="U266" s="48" t="n"/>
      <c r="V266" s="48" t="n"/>
      <c r="W266" s="48" t="n"/>
    </row>
    <row r="267">
      <c r="C267" s="1" t="n">
        <v>46010</v>
      </c>
      <c r="D267" s="1">
        <f>TEXT(C267,"aaa")</f>
        <v/>
      </c>
      <c r="F267" s="0">
        <f>IF(E267=0,"",(E267-G267))</f>
        <v/>
      </c>
      <c r="J267" s="0">
        <f>IF(H267=0,"",(H267-I267))</f>
        <v/>
      </c>
      <c r="K267" s="0">
        <f>IF(E267=0,"",(J267/E267))</f>
        <v/>
      </c>
      <c r="U267" s="48" t="n"/>
      <c r="V267" s="48" t="n"/>
      <c r="W267" s="48" t="n"/>
    </row>
    <row r="268">
      <c r="C268" s="1" t="n">
        <v>46011</v>
      </c>
      <c r="D268" s="1">
        <f>TEXT(C268,"aaa")</f>
        <v/>
      </c>
      <c r="F268" s="0">
        <f>IF(E268=0,"",(E268-G268))</f>
        <v/>
      </c>
      <c r="J268" s="0">
        <f>IF(H268=0,"",(H268-I268))</f>
        <v/>
      </c>
      <c r="K268" s="0">
        <f>IF(E268=0,"",(J268/E268))</f>
        <v/>
      </c>
      <c r="U268" s="48" t="n"/>
      <c r="V268" s="48" t="n"/>
      <c r="W268" s="48" t="n"/>
    </row>
    <row r="269">
      <c r="C269" s="1" t="n">
        <v>46012</v>
      </c>
      <c r="D269" s="1">
        <f>TEXT(C269,"aaa")</f>
        <v/>
      </c>
      <c r="F269" s="0">
        <f>IF(E269=0,"",(E269-G269))</f>
        <v/>
      </c>
      <c r="J269" s="0">
        <f>IF(H269=0,"",(H269-I269))</f>
        <v/>
      </c>
      <c r="K269" s="0">
        <f>IF(E269=0,"",(J269/E269))</f>
        <v/>
      </c>
      <c r="U269" s="48" t="n"/>
      <c r="V269" s="48" t="n"/>
      <c r="W269" s="48" t="n"/>
    </row>
    <row r="270">
      <c r="C270" s="1" t="n">
        <v>46013</v>
      </c>
      <c r="D270" s="1">
        <f>TEXT(C270,"aaa")</f>
        <v/>
      </c>
      <c r="F270" s="0">
        <f>IF(E270=0,"",(E270-G270))</f>
        <v/>
      </c>
      <c r="J270" s="0">
        <f>IF(H270=0,"",(H270-I270))</f>
        <v/>
      </c>
      <c r="K270" s="0">
        <f>IF(E270=0,"",(J270/E270))</f>
        <v/>
      </c>
      <c r="U270" s="48" t="n"/>
      <c r="V270" s="48" t="n"/>
      <c r="W270" s="48" t="n"/>
    </row>
    <row r="271">
      <c r="C271" s="1" t="n">
        <v>46014</v>
      </c>
      <c r="D271" s="1">
        <f>TEXT(C271,"aaa")</f>
        <v/>
      </c>
      <c r="F271" s="0">
        <f>IF(E271=0,"",(E271-G271))</f>
        <v/>
      </c>
      <c r="J271" s="0">
        <f>IF(H271=0,"",(H271-I271))</f>
        <v/>
      </c>
      <c r="K271" s="0">
        <f>IF(E271=0,"",(J271/E271))</f>
        <v/>
      </c>
      <c r="U271" s="48" t="n"/>
      <c r="V271" s="48" t="n"/>
      <c r="W271" s="48" t="n"/>
    </row>
    <row r="272">
      <c r="C272" s="1" t="n">
        <v>46014</v>
      </c>
      <c r="D272" s="1">
        <f>TEXT(C272,"aaa")</f>
        <v/>
      </c>
      <c r="F272" s="0">
        <f>IF(E272=0,"",(E272-G272))</f>
        <v/>
      </c>
      <c r="J272" s="0">
        <f>IF(H272=0,"",(H272-I272))</f>
        <v/>
      </c>
      <c r="K272" s="0">
        <f>IF(E272=0,"",(J272/E272))</f>
        <v/>
      </c>
      <c r="U272" s="48" t="n"/>
      <c r="V272" s="48" t="n"/>
      <c r="W272" s="48" t="n"/>
    </row>
    <row r="273">
      <c r="C273" s="1" t="n">
        <v>46016</v>
      </c>
      <c r="D273" s="1">
        <f>TEXT(C273,"aaa")</f>
        <v/>
      </c>
      <c r="F273" s="0">
        <f>IF(E273=0,"",(E273-G273))</f>
        <v/>
      </c>
      <c r="J273" s="0">
        <f>IF(H273=0,"",(H273-I273))</f>
        <v/>
      </c>
      <c r="K273" s="0">
        <f>IF(E273=0,"",(J273/E273))</f>
        <v/>
      </c>
      <c r="U273" s="48" t="n"/>
      <c r="V273" s="48" t="n"/>
      <c r="W273" s="48" t="n"/>
    </row>
    <row r="274">
      <c r="C274" s="1" t="n">
        <v>46016</v>
      </c>
      <c r="D274" s="1">
        <f>TEXT(C274,"aaa")</f>
        <v/>
      </c>
      <c r="F274" s="0">
        <f>IF(E274=0,"",(E274-G274))</f>
        <v/>
      </c>
      <c r="J274" s="0">
        <f>IF(H274=0,"",(H274-I274))</f>
        <v/>
      </c>
      <c r="K274" s="0">
        <f>IF(E274=0,"",(J274/E274))</f>
        <v/>
      </c>
      <c r="U274" s="48" t="n"/>
      <c r="V274" s="48" t="n"/>
      <c r="W274" s="48" t="n"/>
    </row>
    <row r="275">
      <c r="C275" s="1" t="n">
        <v>46018</v>
      </c>
      <c r="D275" s="1">
        <f>TEXT(C275,"aaa")</f>
        <v/>
      </c>
      <c r="F275" s="0">
        <f>IF(E275=0,"",(E275-G275))</f>
        <v/>
      </c>
      <c r="J275" s="0">
        <f>IF(H275=0,"",(H275-I275))</f>
        <v/>
      </c>
      <c r="K275" s="0">
        <f>IF(E275=0,"",(J275/E275))</f>
        <v/>
      </c>
      <c r="U275" s="48" t="n"/>
      <c r="V275" s="48" t="n"/>
      <c r="W275" s="48" t="n"/>
    </row>
    <row r="276">
      <c r="C276" s="1" t="n">
        <v>46019</v>
      </c>
      <c r="D276" s="1">
        <f>TEXT(C276,"aaa")</f>
        <v/>
      </c>
      <c r="F276" s="0">
        <f>IF(E276=0,"",(E276-G276))</f>
        <v/>
      </c>
      <c r="J276" s="0">
        <f>IF(H276=0,"",(H276-I276))</f>
        <v/>
      </c>
      <c r="K276" s="0">
        <f>IF(E276=0,"",(J276/E276))</f>
        <v/>
      </c>
      <c r="U276" s="48" t="n"/>
      <c r="V276" s="48" t="n"/>
      <c r="W276" s="48" t="n"/>
    </row>
    <row r="277">
      <c r="C277" s="1" t="n">
        <v>46020</v>
      </c>
      <c r="D277" s="1">
        <f>TEXT(C277,"aaa")</f>
        <v/>
      </c>
      <c r="F277" s="0">
        <f>IF(E277=0,"",(E277-G277))</f>
        <v/>
      </c>
      <c r="J277" s="0">
        <f>IF(H277=0,"",(H277-I277))</f>
        <v/>
      </c>
      <c r="K277" s="0">
        <f>IF(E277=0,"",(J277/E277))</f>
        <v/>
      </c>
      <c r="U277" s="48" t="n"/>
      <c r="V277" s="48" t="n"/>
      <c r="W277" s="48" t="n"/>
    </row>
    <row r="278">
      <c r="C278" s="1" t="n">
        <v>46021</v>
      </c>
      <c r="D278" s="1">
        <f>TEXT(C278,"aaa")</f>
        <v/>
      </c>
      <c r="F278" s="0">
        <f>IF(E278=0,"",(E278-G278))</f>
        <v/>
      </c>
      <c r="J278" s="0">
        <f>IF(H278=0,"",(H278-I278))</f>
        <v/>
      </c>
      <c r="K278" s="0">
        <f>IF(E278=0,"",(J278/E278))</f>
        <v/>
      </c>
      <c r="U278" s="48" t="n"/>
      <c r="V278" s="48" t="n"/>
      <c r="W278" s="48" t="n"/>
    </row>
    <row r="279" ht="18.6" customHeight="1" s="47" thickBot="1">
      <c r="A279" s="8" t="n"/>
      <c r="B279" s="8" t="n"/>
      <c r="C279" s="9" t="n">
        <v>46022</v>
      </c>
      <c r="D279" s="1">
        <f>TEXT(C279,"aaa")</f>
        <v/>
      </c>
      <c r="E279" s="8" t="n"/>
      <c r="F279" s="0">
        <f>IF(E279=0,"",(E279-G279))</f>
        <v/>
      </c>
      <c r="G279" s="8" t="n"/>
      <c r="H279" s="8" t="n"/>
      <c r="I279" s="8" t="n"/>
      <c r="J279" s="0">
        <f>IF(H279=0,"",(H279-I279))</f>
        <v/>
      </c>
      <c r="K279" s="0">
        <f>IF(E279=0,"",(J279/E279))</f>
        <v/>
      </c>
      <c r="L279" s="8" t="n"/>
      <c r="M279" s="8" t="n"/>
      <c r="N279" s="8" t="n"/>
      <c r="O279" s="8" t="n"/>
      <c r="P279" s="8" t="n"/>
      <c r="Q279" s="8" t="n"/>
      <c r="R279" s="8" t="n"/>
      <c r="U279" s="48" t="n"/>
      <c r="V279" s="48" t="n"/>
      <c r="W279" s="48" t="n"/>
      <c r="X279" s="8" t="n"/>
      <c r="Y279" s="8" t="n"/>
    </row>
    <row r="280">
      <c r="C280" s="1" t="n">
        <v>46023</v>
      </c>
      <c r="D280" s="1">
        <f>TEXT(C280,"aaa")</f>
        <v/>
      </c>
      <c r="F280" s="0">
        <f>IF(E280=0,"",(E280-G280))</f>
        <v/>
      </c>
      <c r="J280" s="0">
        <f>IF(H280=0,"",(H280-I280))</f>
        <v/>
      </c>
      <c r="K280" s="0">
        <f>IF(E280=0,"",(J280/E280))</f>
        <v/>
      </c>
      <c r="U280" s="48" t="n"/>
      <c r="V280" s="48" t="n"/>
      <c r="W280" s="48" t="n"/>
    </row>
    <row r="281">
      <c r="C281" s="1" t="n">
        <v>46024</v>
      </c>
      <c r="D281" s="1">
        <f>TEXT(C281,"aaa")</f>
        <v/>
      </c>
      <c r="F281" s="0">
        <f>IF(E281=0,"",(E281-G281))</f>
        <v/>
      </c>
      <c r="J281" s="0">
        <f>IF(H281=0,"",(H281-I281))</f>
        <v/>
      </c>
      <c r="K281" s="0">
        <f>IF(E281=0,"",(J281/E281))</f>
        <v/>
      </c>
      <c r="U281" s="48" t="n"/>
      <c r="V281" s="48" t="n"/>
      <c r="W281" s="48" t="n"/>
    </row>
    <row r="282">
      <c r="C282" s="1" t="n">
        <v>46025</v>
      </c>
      <c r="D282" s="1">
        <f>TEXT(C282,"aaa")</f>
        <v/>
      </c>
      <c r="F282" s="0">
        <f>IF(E282=0,"",(E282-G282))</f>
        <v/>
      </c>
      <c r="J282" s="0">
        <f>IF(H282=0,"",(H282-I282))</f>
        <v/>
      </c>
      <c r="K282" s="0">
        <f>IF(E282=0,"",(J282/E282))</f>
        <v/>
      </c>
      <c r="U282" s="48" t="n"/>
      <c r="V282" s="48" t="n"/>
      <c r="W282" s="48" t="n"/>
    </row>
    <row r="283">
      <c r="C283" s="1" t="n">
        <v>46026</v>
      </c>
      <c r="D283" s="1">
        <f>TEXT(C283,"aaa")</f>
        <v/>
      </c>
      <c r="F283" s="0">
        <f>IF(E283=0,"",(E283-G283))</f>
        <v/>
      </c>
      <c r="J283" s="0">
        <f>IF(H283=0,"",(H283-I283))</f>
        <v/>
      </c>
      <c r="K283" s="0">
        <f>IF(E283=0,"",(J283/E283))</f>
        <v/>
      </c>
      <c r="U283" s="48" t="n"/>
      <c r="V283" s="48" t="n"/>
      <c r="W283" s="48" t="n"/>
    </row>
    <row r="284">
      <c r="C284" s="1" t="n">
        <v>46027</v>
      </c>
      <c r="D284" s="1">
        <f>TEXT(C284,"aaa")</f>
        <v/>
      </c>
      <c r="F284" s="0">
        <f>IF(E284=0,"",(E284-G284))</f>
        <v/>
      </c>
      <c r="J284" s="0">
        <f>IF(H284=0,"",(H284-I284))</f>
        <v/>
      </c>
      <c r="K284" s="0">
        <f>IF(E284=0,"",(J284/E284))</f>
        <v/>
      </c>
      <c r="U284" s="48" t="n"/>
      <c r="V284" s="48" t="n"/>
      <c r="W284" s="48" t="n"/>
    </row>
    <row r="285">
      <c r="C285" s="1" t="n">
        <v>46028</v>
      </c>
      <c r="D285" s="1">
        <f>TEXT(C285,"aaa")</f>
        <v/>
      </c>
      <c r="F285" s="0">
        <f>IF(E285=0,"",(E285-G285))</f>
        <v/>
      </c>
      <c r="J285" s="0">
        <f>IF(H285=0,"",(H285-I285))</f>
        <v/>
      </c>
      <c r="K285" s="0">
        <f>IF(E285=0,"",(J285/E285))</f>
        <v/>
      </c>
      <c r="U285" s="48" t="n"/>
      <c r="V285" s="48" t="n"/>
      <c r="W285" s="48" t="n"/>
    </row>
    <row r="286">
      <c r="C286" s="1" t="n">
        <v>46028</v>
      </c>
      <c r="D286" s="1">
        <f>TEXT(C286,"aaa")</f>
        <v/>
      </c>
      <c r="F286" s="0">
        <f>IF(E286=0,"",(E286-G286))</f>
        <v/>
      </c>
      <c r="J286" s="0">
        <f>IF(H286=0,"",(H286-I286))</f>
        <v/>
      </c>
      <c r="K286" s="0">
        <f>IF(E286=0,"",(J286/E286))</f>
        <v/>
      </c>
      <c r="U286" s="48" t="n"/>
      <c r="V286" s="48" t="n"/>
      <c r="W286" s="48" t="n"/>
    </row>
    <row r="287">
      <c r="C287" s="1" t="n">
        <v>46030</v>
      </c>
      <c r="D287" s="1">
        <f>TEXT(C287,"aaa")</f>
        <v/>
      </c>
      <c r="F287" s="0">
        <f>IF(E287=0,"",(E287-G287))</f>
        <v/>
      </c>
      <c r="J287" s="0">
        <f>IF(H287=0,"",(H287-I287))</f>
        <v/>
      </c>
      <c r="K287" s="0">
        <f>IF(E287=0,"",(J287/E287))</f>
        <v/>
      </c>
      <c r="U287" s="48" t="n"/>
      <c r="V287" s="48" t="n"/>
      <c r="W287" s="48" t="n"/>
    </row>
    <row r="288">
      <c r="C288" s="1" t="n">
        <v>46031</v>
      </c>
      <c r="D288" s="1">
        <f>TEXT(C288,"aaa")</f>
        <v/>
      </c>
      <c r="F288" s="0">
        <f>IF(E288=0,"",(E288-G288))</f>
        <v/>
      </c>
      <c r="J288" s="0">
        <f>IF(H288=0,"",(H288-I288))</f>
        <v/>
      </c>
      <c r="K288" s="0">
        <f>IF(E288=0,"",(J288/E288))</f>
        <v/>
      </c>
      <c r="U288" s="48" t="n"/>
      <c r="V288" s="48" t="n"/>
      <c r="W288" s="48" t="n"/>
    </row>
    <row r="289">
      <c r="C289" s="1" t="n">
        <v>46032</v>
      </c>
      <c r="D289" s="1">
        <f>TEXT(C289,"aaa")</f>
        <v/>
      </c>
      <c r="F289" s="0">
        <f>IF(E289=0,"",(E289-G289))</f>
        <v/>
      </c>
      <c r="J289" s="0">
        <f>IF(H289=0,"",(H289-I289))</f>
        <v/>
      </c>
      <c r="K289" s="0">
        <f>IF(E289=0,"",(J289/E289))</f>
        <v/>
      </c>
      <c r="U289" s="48" t="n"/>
      <c r="V289" s="48" t="n"/>
      <c r="W289" s="48" t="n"/>
    </row>
    <row r="290">
      <c r="C290" s="1" t="n">
        <v>46033</v>
      </c>
      <c r="D290" s="1">
        <f>TEXT(C290,"aaa")</f>
        <v/>
      </c>
      <c r="F290" s="0">
        <f>IF(E290=0,"",(E290-G290))</f>
        <v/>
      </c>
      <c r="J290" s="0">
        <f>IF(H290=0,"",(H290-I290))</f>
        <v/>
      </c>
      <c r="K290" s="0">
        <f>IF(E290=0,"",(J290/E290))</f>
        <v/>
      </c>
      <c r="U290" s="48" t="n"/>
      <c r="V290" s="48" t="n"/>
      <c r="W290" s="48" t="n"/>
    </row>
    <row r="291">
      <c r="C291" s="1" t="n">
        <v>46034</v>
      </c>
      <c r="D291" s="1">
        <f>TEXT(C291,"aaa")</f>
        <v/>
      </c>
      <c r="F291" s="0">
        <f>IF(E291=0,"",(E291-G291))</f>
        <v/>
      </c>
      <c r="J291" s="0">
        <f>IF(H291=0,"",(H291-I291))</f>
        <v/>
      </c>
      <c r="K291" s="0">
        <f>IF(E291=0,"",(J291/E291))</f>
        <v/>
      </c>
      <c r="U291" s="48" t="n"/>
      <c r="V291" s="48" t="n"/>
      <c r="W291" s="48" t="n"/>
    </row>
    <row r="292">
      <c r="C292" s="1" t="n">
        <v>46035</v>
      </c>
      <c r="D292" s="1">
        <f>TEXT(C292,"aaa")</f>
        <v/>
      </c>
      <c r="F292" s="0">
        <f>IF(E292=0,"",(E292-G292))</f>
        <v/>
      </c>
      <c r="J292" s="0">
        <f>IF(H292=0,"",(H292-I292))</f>
        <v/>
      </c>
      <c r="K292" s="0">
        <f>IF(E292=0,"",(J292/E292))</f>
        <v/>
      </c>
      <c r="U292" s="48" t="n"/>
      <c r="V292" s="48" t="n"/>
      <c r="W292" s="48" t="n"/>
    </row>
    <row r="293">
      <c r="C293" s="1" t="n">
        <v>46036</v>
      </c>
      <c r="D293" s="1">
        <f>TEXT(C293,"aaa")</f>
        <v/>
      </c>
      <c r="F293" s="0">
        <f>IF(E293=0,"",(E293-G293))</f>
        <v/>
      </c>
      <c r="J293" s="0">
        <f>IF(H293=0,"",(H293-I293))</f>
        <v/>
      </c>
      <c r="K293" s="0">
        <f>IF(E293=0,"",(J293/E293))</f>
        <v/>
      </c>
      <c r="U293" s="48" t="n"/>
      <c r="V293" s="48" t="n"/>
      <c r="W293" s="48" t="n"/>
    </row>
    <row r="294">
      <c r="C294" s="1" t="n">
        <v>46037</v>
      </c>
      <c r="D294" s="1">
        <f>TEXT(C294,"aaa")</f>
        <v/>
      </c>
      <c r="F294" s="0">
        <f>IF(E294=0,"",(E294-G294))</f>
        <v/>
      </c>
      <c r="J294" s="0">
        <f>IF(H294=0,"",(H294-I294))</f>
        <v/>
      </c>
      <c r="K294" s="0">
        <f>IF(E294=0,"",(J294/E294))</f>
        <v/>
      </c>
      <c r="U294" s="48" t="n"/>
      <c r="V294" s="48" t="n"/>
      <c r="W294" s="48" t="n"/>
    </row>
    <row r="295">
      <c r="C295" s="1" t="n">
        <v>46038</v>
      </c>
      <c r="D295" s="1">
        <f>TEXT(C295,"aaa")</f>
        <v/>
      </c>
      <c r="F295" s="0">
        <f>IF(E295=0,"",(E295-G295))</f>
        <v/>
      </c>
      <c r="J295" s="0">
        <f>IF(H295=0,"",(H295-I295))</f>
        <v/>
      </c>
      <c r="K295" s="0">
        <f>IF(E295=0,"",(J295/E295))</f>
        <v/>
      </c>
      <c r="U295" s="48" t="n"/>
      <c r="V295" s="48" t="n"/>
      <c r="W295" s="48" t="n"/>
    </row>
    <row r="296">
      <c r="C296" s="1" t="n">
        <v>46039</v>
      </c>
      <c r="D296" s="1">
        <f>TEXT(C296,"aaa")</f>
        <v/>
      </c>
      <c r="F296" s="0">
        <f>IF(E296=0,"",(E296-G296))</f>
        <v/>
      </c>
      <c r="J296" s="0">
        <f>IF(H296=0,"",(H296-I296))</f>
        <v/>
      </c>
      <c r="K296" s="0">
        <f>IF(E296=0,"",(J296/E296))</f>
        <v/>
      </c>
      <c r="U296" s="48" t="n"/>
      <c r="V296" s="48" t="n"/>
      <c r="W296" s="48" t="n"/>
    </row>
    <row r="297">
      <c r="C297" s="1" t="n">
        <v>46040</v>
      </c>
      <c r="D297" s="1">
        <f>TEXT(C297,"aaa")</f>
        <v/>
      </c>
      <c r="F297" s="0">
        <f>IF(E297=0,"",(E297-G297))</f>
        <v/>
      </c>
      <c r="J297" s="0">
        <f>IF(H297=0,"",(H297-I297))</f>
        <v/>
      </c>
      <c r="K297" s="0">
        <f>IF(E297=0,"",(J297/E297))</f>
        <v/>
      </c>
      <c r="U297" s="48" t="n"/>
      <c r="V297" s="48" t="n"/>
      <c r="W297" s="48" t="n"/>
    </row>
    <row r="298">
      <c r="C298" s="1" t="n">
        <v>46041</v>
      </c>
      <c r="D298" s="1">
        <f>TEXT(C298,"aaa")</f>
        <v/>
      </c>
      <c r="F298" s="0">
        <f>IF(E298=0,"",(E298-G298))</f>
        <v/>
      </c>
      <c r="J298" s="0">
        <f>IF(H298=0,"",(H298-I298))</f>
        <v/>
      </c>
      <c r="K298" s="0">
        <f>IF(E298=0,"",(J298/E298))</f>
        <v/>
      </c>
      <c r="U298" s="48" t="n"/>
      <c r="V298" s="48" t="n"/>
      <c r="W298" s="48" t="n"/>
    </row>
    <row r="299">
      <c r="C299" s="1" t="n">
        <v>46042</v>
      </c>
      <c r="D299" s="1">
        <f>TEXT(C299,"aaa")</f>
        <v/>
      </c>
      <c r="F299" s="0">
        <f>IF(E299=0,"",(E299-G299))</f>
        <v/>
      </c>
      <c r="J299" s="0">
        <f>IF(H299=0,"",(H299-I299))</f>
        <v/>
      </c>
      <c r="K299" s="0">
        <f>IF(E299=0,"",(J299/E299))</f>
        <v/>
      </c>
      <c r="U299" s="48" t="n"/>
      <c r="V299" s="48" t="n"/>
      <c r="W299" s="48" t="n"/>
    </row>
    <row r="300">
      <c r="C300" s="1" t="n">
        <v>46042</v>
      </c>
      <c r="D300" s="1">
        <f>TEXT(C300,"aaa")</f>
        <v/>
      </c>
      <c r="F300" s="0">
        <f>IF(E300=0,"",(E300-G300))</f>
        <v/>
      </c>
      <c r="J300" s="0">
        <f>IF(H300=0,"",(H300-I300))</f>
        <v/>
      </c>
      <c r="K300" s="0">
        <f>IF(E300=0,"",(J300/E300))</f>
        <v/>
      </c>
      <c r="U300" s="48" t="n"/>
      <c r="V300" s="48" t="n"/>
      <c r="W300" s="48" t="n"/>
    </row>
    <row r="301">
      <c r="C301" s="1" t="n">
        <v>46044</v>
      </c>
      <c r="D301" s="1">
        <f>TEXT(C301,"aaa")</f>
        <v/>
      </c>
      <c r="F301" s="0">
        <f>IF(E301=0,"",(E301-G301))</f>
        <v/>
      </c>
      <c r="J301" s="0">
        <f>IF(H301=0,"",(H301-I301))</f>
        <v/>
      </c>
      <c r="K301" s="0">
        <f>IF(E301=0,"",(J301/E301))</f>
        <v/>
      </c>
      <c r="U301" s="48" t="n"/>
      <c r="V301" s="48" t="n"/>
      <c r="W301" s="48" t="n"/>
    </row>
    <row r="302">
      <c r="C302" s="1" t="n">
        <v>46045</v>
      </c>
      <c r="D302" s="1">
        <f>TEXT(C302,"aaa")</f>
        <v/>
      </c>
      <c r="F302" s="0">
        <f>IF(E302=0,"",(E302-G302))</f>
        <v/>
      </c>
      <c r="J302" s="0">
        <f>IF(H302=0,"",(H302-I302))</f>
        <v/>
      </c>
      <c r="K302" s="0">
        <f>IF(E302=0,"",(J302/E302))</f>
        <v/>
      </c>
      <c r="U302" s="48" t="n"/>
      <c r="V302" s="48" t="n"/>
      <c r="W302" s="48" t="n"/>
    </row>
    <row r="303">
      <c r="C303" s="1" t="n">
        <v>46046</v>
      </c>
      <c r="D303" s="1">
        <f>TEXT(C303,"aaa")</f>
        <v/>
      </c>
      <c r="F303" s="0">
        <f>IF(E303=0,"",(E303-G303))</f>
        <v/>
      </c>
      <c r="J303" s="0">
        <f>IF(H303=0,"",(H303-I303))</f>
        <v/>
      </c>
      <c r="K303" s="0">
        <f>IF(E303=0,"",(J303/E303))</f>
        <v/>
      </c>
      <c r="U303" s="48" t="n"/>
      <c r="V303" s="48" t="n"/>
      <c r="W303" s="48" t="n"/>
    </row>
    <row r="304">
      <c r="C304" s="1" t="n">
        <v>46047</v>
      </c>
      <c r="D304" s="1">
        <f>TEXT(C304,"aaa")</f>
        <v/>
      </c>
      <c r="F304" s="0">
        <f>IF(E304=0,"",(E304-G304))</f>
        <v/>
      </c>
      <c r="J304" s="0">
        <f>IF(H304=0,"",(H304-I304))</f>
        <v/>
      </c>
      <c r="K304" s="0">
        <f>IF(E304=0,"",(J304/E304))</f>
        <v/>
      </c>
      <c r="U304" s="48" t="n"/>
      <c r="V304" s="48" t="n"/>
      <c r="W304" s="48" t="n"/>
    </row>
    <row r="305">
      <c r="C305" s="1" t="n">
        <v>46048</v>
      </c>
      <c r="D305" s="1">
        <f>TEXT(C305,"aaa")</f>
        <v/>
      </c>
      <c r="F305" s="0">
        <f>IF(E305=0,"",(E305-G305))</f>
        <v/>
      </c>
      <c r="J305" s="0">
        <f>IF(H305=0,"",(H305-I305))</f>
        <v/>
      </c>
      <c r="K305" s="0">
        <f>IF(E305=0,"",(J305/E305))</f>
        <v/>
      </c>
      <c r="U305" s="48" t="n"/>
      <c r="V305" s="48" t="n"/>
      <c r="W305" s="48" t="n"/>
    </row>
    <row r="306">
      <c r="C306" s="1" t="n">
        <v>46049</v>
      </c>
      <c r="D306" s="1">
        <f>TEXT(C306,"aaa")</f>
        <v/>
      </c>
      <c r="F306" s="0">
        <f>IF(E306=0,"",(E306-G306))</f>
        <v/>
      </c>
      <c r="J306" s="0">
        <f>IF(H306=0,"",(H306-I306))</f>
        <v/>
      </c>
      <c r="K306" s="0">
        <f>IF(E306=0,"",(J306/E306))</f>
        <v/>
      </c>
      <c r="U306" s="48" t="n"/>
      <c r="V306" s="48" t="n"/>
      <c r="W306" s="48" t="n"/>
    </row>
    <row r="307">
      <c r="C307" s="1" t="n">
        <v>46049</v>
      </c>
      <c r="D307" s="1">
        <f>TEXT(C307,"aaa")</f>
        <v/>
      </c>
      <c r="F307" s="0">
        <f>IF(E307=0,"",(E307-G307))</f>
        <v/>
      </c>
      <c r="J307" s="0">
        <f>IF(H307=0,"",(H307-I307))</f>
        <v/>
      </c>
      <c r="K307" s="0">
        <f>IF(E307=0,"",(J307/E307))</f>
        <v/>
      </c>
      <c r="T307" s="48" t="n"/>
      <c r="U307" s="48" t="n"/>
      <c r="V307" s="48" t="n"/>
      <c r="W307" s="48" t="n"/>
    </row>
    <row r="308">
      <c r="C308" s="1" t="n">
        <v>46051</v>
      </c>
      <c r="D308" s="1">
        <f>TEXT(C308,"aaa")</f>
        <v/>
      </c>
      <c r="F308" s="0">
        <f>IF(E308=0,"",(E308-G308))</f>
        <v/>
      </c>
      <c r="J308" s="0">
        <f>IF(H308=0,"",(H308-I308))</f>
        <v/>
      </c>
      <c r="K308" s="0">
        <f>IF(E308=0,"",(J308/E308))</f>
        <v/>
      </c>
      <c r="T308" s="48" t="n"/>
      <c r="U308" s="48" t="n"/>
      <c r="V308" s="48" t="n"/>
      <c r="W308" s="48" t="n"/>
    </row>
    <row r="309">
      <c r="C309" s="1" t="n">
        <v>46052</v>
      </c>
      <c r="D309" s="1">
        <f>TEXT(C309,"aaa")</f>
        <v/>
      </c>
      <c r="F309" s="0">
        <f>IF(E309=0,"",(E309-G309))</f>
        <v/>
      </c>
      <c r="J309" s="0">
        <f>IF(H309=0,"",(H309-I309))</f>
        <v/>
      </c>
      <c r="K309" s="0">
        <f>IF(E309=0,"",(J309/E309))</f>
        <v/>
      </c>
      <c r="T309" s="48" t="n"/>
      <c r="U309" s="48" t="n"/>
      <c r="V309" s="48" t="n"/>
      <c r="W309" s="48" t="n"/>
    </row>
    <row r="310" ht="18.6" customHeight="1" s="47" thickBot="1">
      <c r="A310" s="8" t="n"/>
      <c r="B310" s="8" t="n"/>
      <c r="C310" s="9" t="n">
        <v>46053</v>
      </c>
      <c r="D310" s="1">
        <f>TEXT(C310,"aaa")</f>
        <v/>
      </c>
      <c r="E310" s="8" t="n"/>
      <c r="F310" s="0">
        <f>IF(E310=0,"",(E310-G310))</f>
        <v/>
      </c>
      <c r="G310" s="8" t="n"/>
      <c r="H310" s="8" t="n"/>
      <c r="I310" s="8" t="n"/>
      <c r="J310" s="0">
        <f>IF(H310=0,"",(H310-I310))</f>
        <v/>
      </c>
      <c r="K310" s="0">
        <f>IF(E310=0,"",(J310/E310))</f>
        <v/>
      </c>
      <c r="L310" s="8" t="n"/>
      <c r="M310" s="8" t="n"/>
      <c r="N310" s="8" t="n"/>
      <c r="O310" s="8" t="n"/>
      <c r="P310" s="8" t="n"/>
      <c r="Q310" s="8" t="n"/>
      <c r="R310" s="8" t="n"/>
      <c r="T310" s="48" t="n"/>
      <c r="U310" s="48" t="n"/>
      <c r="V310" s="48" t="n"/>
      <c r="W310" s="48" t="n"/>
      <c r="X310" s="8" t="n"/>
      <c r="Y310" s="8" t="n"/>
    </row>
    <row r="311">
      <c r="C311" s="1" t="n">
        <v>46054</v>
      </c>
      <c r="D311" s="1">
        <f>TEXT(C311,"aaa")</f>
        <v/>
      </c>
      <c r="F311" s="0">
        <f>IF(E311=0,"",(E311-G311))</f>
        <v/>
      </c>
      <c r="J311" s="0">
        <f>IF(H311=0,"",(H311-I311))</f>
        <v/>
      </c>
      <c r="K311" s="0">
        <f>IF(E311=0,"",(J311/E311))</f>
        <v/>
      </c>
      <c r="T311" s="48" t="n"/>
      <c r="U311" s="48" t="n"/>
      <c r="V311" s="48" t="n"/>
      <c r="W311" s="48" t="n"/>
    </row>
    <row r="312">
      <c r="C312" s="1" t="n">
        <v>46055</v>
      </c>
      <c r="D312" s="1">
        <f>TEXT(C312,"aaa")</f>
        <v/>
      </c>
      <c r="F312" s="0">
        <f>IF(E312=0,"",(E312-G312))</f>
        <v/>
      </c>
      <c r="J312" s="0">
        <f>IF(H312=0,"",(H312-I312))</f>
        <v/>
      </c>
      <c r="K312" s="0">
        <f>IF(E312=0,"",(J312/E312))</f>
        <v/>
      </c>
      <c r="T312" s="48" t="n"/>
      <c r="U312" s="48" t="n"/>
      <c r="V312" s="48" t="n"/>
      <c r="W312" s="48" t="n"/>
    </row>
    <row r="313">
      <c r="C313" s="1" t="n">
        <v>46056</v>
      </c>
      <c r="D313" s="1">
        <f>TEXT(C313,"aaa")</f>
        <v/>
      </c>
      <c r="F313" s="0">
        <f>IF(E313=0,"",(E313-G313))</f>
        <v/>
      </c>
      <c r="J313" s="0">
        <f>IF(H313=0,"",(H313-I313))</f>
        <v/>
      </c>
      <c r="K313" s="0">
        <f>IF(E313=0,"",(J313/E313))</f>
        <v/>
      </c>
      <c r="T313" s="48" t="n"/>
      <c r="U313" s="48" t="n"/>
      <c r="V313" s="48" t="n"/>
      <c r="W313" s="48" t="n"/>
    </row>
    <row r="314">
      <c r="C314" s="1" t="n">
        <v>46056</v>
      </c>
      <c r="D314" s="1">
        <f>TEXT(C314,"aaa")</f>
        <v/>
      </c>
      <c r="F314" s="0">
        <f>IF(E314=0,"",(E314-G314))</f>
        <v/>
      </c>
      <c r="J314" s="0">
        <f>IF(H314=0,"",(H314-I314))</f>
        <v/>
      </c>
      <c r="K314" s="0">
        <f>IF(E314=0,"",(J314/E314))</f>
        <v/>
      </c>
      <c r="T314" s="48" t="n"/>
      <c r="U314" s="48" t="n"/>
      <c r="V314" s="48" t="n"/>
      <c r="W314" s="48" t="n"/>
    </row>
    <row r="315">
      <c r="C315" s="1" t="n">
        <v>46058</v>
      </c>
      <c r="D315" s="1">
        <f>TEXT(C315,"aaa")</f>
        <v/>
      </c>
      <c r="F315" s="0">
        <f>IF(E315=0,"",(E315-G315))</f>
        <v/>
      </c>
      <c r="J315" s="0">
        <f>IF(H315=0,"",(H315-I315))</f>
        <v/>
      </c>
      <c r="K315" s="0">
        <f>IF(E315=0,"",(J315/E315))</f>
        <v/>
      </c>
      <c r="T315" s="48" t="n"/>
      <c r="U315" s="48" t="n"/>
      <c r="V315" s="48" t="n"/>
      <c r="W315" s="48" t="n"/>
    </row>
    <row r="316">
      <c r="C316" s="1" t="n">
        <v>46059</v>
      </c>
      <c r="D316" s="1">
        <f>TEXT(C316,"aaa")</f>
        <v/>
      </c>
      <c r="F316" s="0">
        <f>IF(E316=0,"",(E316-G316))</f>
        <v/>
      </c>
      <c r="J316" s="0">
        <f>IF(H316=0,"",(H316-I316))</f>
        <v/>
      </c>
      <c r="K316" s="0">
        <f>IF(E316=0,"",(J316/E316))</f>
        <v/>
      </c>
      <c r="T316" s="48" t="n"/>
      <c r="U316" s="48" t="n"/>
      <c r="V316" s="48" t="n"/>
      <c r="W316" s="48" t="n"/>
    </row>
    <row r="317">
      <c r="C317" s="1" t="n">
        <v>46060</v>
      </c>
      <c r="D317" s="1">
        <f>TEXT(C317,"aaa")</f>
        <v/>
      </c>
      <c r="F317" s="0">
        <f>IF(E317=0,"",(E317-G317))</f>
        <v/>
      </c>
      <c r="J317" s="0">
        <f>IF(H317=0,"",(H317-I317))</f>
        <v/>
      </c>
      <c r="K317" s="0">
        <f>IF(E317=0,"",(J317/E317))</f>
        <v/>
      </c>
      <c r="T317" s="48" t="n"/>
      <c r="U317" s="48" t="n"/>
      <c r="V317" s="48" t="n"/>
      <c r="W317" s="48" t="n"/>
    </row>
    <row r="318">
      <c r="C318" s="1" t="n">
        <v>46061</v>
      </c>
      <c r="D318" s="1">
        <f>TEXT(C318,"aaa")</f>
        <v/>
      </c>
      <c r="F318" s="0">
        <f>IF(E318=0,"",(E318-G318))</f>
        <v/>
      </c>
      <c r="J318" s="0">
        <f>IF(H318=0,"",(H318-I318))</f>
        <v/>
      </c>
      <c r="K318" s="0">
        <f>IF(E318=0,"",(J318/E318))</f>
        <v/>
      </c>
      <c r="T318" s="48" t="n"/>
      <c r="U318" s="48" t="n"/>
      <c r="V318" s="48" t="n"/>
      <c r="W318" s="48" t="n"/>
    </row>
    <row r="319">
      <c r="C319" s="1" t="n">
        <v>46062</v>
      </c>
      <c r="D319" s="1">
        <f>TEXT(C319,"aaa")</f>
        <v/>
      </c>
      <c r="F319" s="0">
        <f>IF(E319=0,"",(E319-G319))</f>
        <v/>
      </c>
      <c r="J319" s="0">
        <f>IF(H319=0,"",(H319-I319))</f>
        <v/>
      </c>
      <c r="K319" s="0">
        <f>IF(E319=0,"",(J319/E319))</f>
        <v/>
      </c>
      <c r="T319" s="48" t="n"/>
      <c r="U319" s="48" t="n"/>
      <c r="V319" s="48" t="n"/>
      <c r="W319" s="48" t="n"/>
    </row>
    <row r="320">
      <c r="C320" s="1" t="n">
        <v>46063</v>
      </c>
      <c r="D320" s="1">
        <f>TEXT(C320,"aaa")</f>
        <v/>
      </c>
      <c r="F320" s="0">
        <f>IF(E320=0,"",(E320-G320))</f>
        <v/>
      </c>
      <c r="J320" s="0">
        <f>IF(H320=0,"",(H320-I320))</f>
        <v/>
      </c>
      <c r="K320" s="0">
        <f>IF(E320=0,"",(J320/E320))</f>
        <v/>
      </c>
      <c r="T320" s="48" t="n"/>
      <c r="U320" s="48" t="n"/>
      <c r="V320" s="48" t="n"/>
      <c r="W320" s="48" t="n"/>
    </row>
    <row r="321">
      <c r="C321" s="1" t="n">
        <v>46064</v>
      </c>
      <c r="D321" s="1">
        <f>TEXT(C321,"aaa")</f>
        <v/>
      </c>
      <c r="F321" s="0">
        <f>IF(E321=0,"",(E321-G321))</f>
        <v/>
      </c>
      <c r="J321" s="0">
        <f>IF(H321=0,"",(H321-I321))</f>
        <v/>
      </c>
      <c r="K321" s="0">
        <f>IF(E321=0,"",(J321/E321))</f>
        <v/>
      </c>
      <c r="T321" s="48" t="n"/>
      <c r="U321" s="48" t="n"/>
      <c r="V321" s="48" t="n"/>
      <c r="W321" s="48" t="n"/>
    </row>
    <row r="322">
      <c r="C322" s="1" t="n">
        <v>46065</v>
      </c>
      <c r="D322" s="1">
        <f>TEXT(C322,"aaa")</f>
        <v/>
      </c>
      <c r="F322" s="0">
        <f>IF(E322=0,"",(E322-G322))</f>
        <v/>
      </c>
      <c r="J322" s="0">
        <f>IF(H322=0,"",(H322-I322))</f>
        <v/>
      </c>
      <c r="K322" s="0">
        <f>IF(E322=0,"",(J322/E322))</f>
        <v/>
      </c>
      <c r="T322" s="48" t="n"/>
      <c r="U322" s="48" t="n"/>
      <c r="V322" s="48" t="n"/>
      <c r="W322" s="48" t="n"/>
    </row>
    <row r="323">
      <c r="C323" s="1" t="n">
        <v>46066</v>
      </c>
      <c r="D323" s="1">
        <f>TEXT(C323,"aaa")</f>
        <v/>
      </c>
      <c r="F323" s="0">
        <f>IF(E323=0,"",(E323-G323))</f>
        <v/>
      </c>
      <c r="J323" s="0">
        <f>IF(H323=0,"",(H323-I323))</f>
        <v/>
      </c>
      <c r="K323" s="0">
        <f>IF(E323=0,"",(J323/E323))</f>
        <v/>
      </c>
      <c r="T323" s="48" t="n"/>
      <c r="U323" s="48" t="n"/>
      <c r="V323" s="48" t="n"/>
      <c r="W323" s="48" t="n"/>
    </row>
    <row r="324">
      <c r="C324" s="1" t="n">
        <v>46067</v>
      </c>
      <c r="D324" s="1">
        <f>TEXT(C324,"aaa")</f>
        <v/>
      </c>
      <c r="F324" s="0">
        <f>IF(E324=0,"",(E324-G324))</f>
        <v/>
      </c>
      <c r="J324" s="0">
        <f>IF(H324=0,"",(H324-I324))</f>
        <v/>
      </c>
      <c r="K324" s="0">
        <f>IF(E324=0,"",(J324/E324))</f>
        <v/>
      </c>
      <c r="T324" s="48" t="n"/>
      <c r="U324" s="48" t="n"/>
      <c r="V324" s="48" t="n"/>
      <c r="W324" s="48" t="n"/>
    </row>
    <row r="325">
      <c r="C325" s="1" t="n">
        <v>46068</v>
      </c>
      <c r="D325" s="1">
        <f>TEXT(C325,"aaa")</f>
        <v/>
      </c>
      <c r="F325" s="0">
        <f>IF(E325=0,"",(E325-G325))</f>
        <v/>
      </c>
      <c r="J325" s="0">
        <f>IF(H325=0,"",(H325-I325))</f>
        <v/>
      </c>
      <c r="K325" s="0">
        <f>IF(E325=0,"",(J325/E325))</f>
        <v/>
      </c>
      <c r="T325" s="48" t="n"/>
      <c r="U325" s="48" t="n"/>
      <c r="V325" s="48" t="n"/>
      <c r="W325" s="48" t="n"/>
    </row>
    <row r="326">
      <c r="C326" s="1" t="n">
        <v>46069</v>
      </c>
      <c r="D326" s="1">
        <f>TEXT(C326,"aaa")</f>
        <v/>
      </c>
      <c r="F326" s="0">
        <f>IF(E326=0,"",(E326-G326))</f>
        <v/>
      </c>
      <c r="J326" s="0">
        <f>IF(H326=0,"",(H326-I326))</f>
        <v/>
      </c>
      <c r="K326" s="0">
        <f>IF(E326=0,"",(J326/E326))</f>
        <v/>
      </c>
      <c r="T326" s="48" t="n"/>
      <c r="U326" s="48" t="n"/>
      <c r="V326" s="48" t="n"/>
      <c r="W326" s="48" t="n"/>
    </row>
    <row r="327">
      <c r="C327" s="1" t="n">
        <v>46070</v>
      </c>
      <c r="D327" s="1">
        <f>TEXT(C327,"aaa")</f>
        <v/>
      </c>
      <c r="F327" s="0">
        <f>IF(E327=0,"",(E327-G327))</f>
        <v/>
      </c>
      <c r="J327" s="0">
        <f>IF(H327=0,"",(H327-I327))</f>
        <v/>
      </c>
      <c r="K327" s="0">
        <f>IF(E327=0,"",(J327/E327))</f>
        <v/>
      </c>
      <c r="T327" s="48" t="n"/>
      <c r="U327" s="48" t="n"/>
      <c r="V327" s="48" t="n"/>
      <c r="W327" s="48" t="n"/>
    </row>
    <row r="328">
      <c r="C328" s="1" t="n">
        <v>46071</v>
      </c>
      <c r="D328" s="1">
        <f>TEXT(C328,"aaa")</f>
        <v/>
      </c>
      <c r="F328" s="0">
        <f>IF(E328=0,"",(E328-G328))</f>
        <v/>
      </c>
      <c r="J328" s="0">
        <f>IF(H328=0,"",(H328-I328))</f>
        <v/>
      </c>
      <c r="K328" s="0">
        <f>IF(E328=0,"",(J328/E328))</f>
        <v/>
      </c>
      <c r="T328" s="48" t="n"/>
      <c r="U328" s="48" t="n"/>
      <c r="V328" s="48" t="n"/>
      <c r="W328" s="48" t="n"/>
    </row>
    <row r="329">
      <c r="C329" s="1" t="n">
        <v>46072</v>
      </c>
      <c r="D329" s="1">
        <f>TEXT(C329,"aaa")</f>
        <v/>
      </c>
      <c r="F329" s="0">
        <f>IF(E329=0,"",(E329-G329))</f>
        <v/>
      </c>
      <c r="J329" s="0">
        <f>IF(H329=0,"",(H329-I329))</f>
        <v/>
      </c>
      <c r="K329" s="0">
        <f>IF(E329=0,"",(J329/E329))</f>
        <v/>
      </c>
      <c r="T329" s="48" t="n"/>
      <c r="U329" s="48" t="n"/>
      <c r="V329" s="48" t="n"/>
      <c r="W329" s="48" t="n"/>
    </row>
    <row r="330">
      <c r="C330" s="1" t="n">
        <v>46073</v>
      </c>
      <c r="D330" s="1">
        <f>TEXT(C330,"aaa")</f>
        <v/>
      </c>
      <c r="F330" s="0">
        <f>IF(E330=0,"",(E330-G330))</f>
        <v/>
      </c>
      <c r="J330" s="0">
        <f>IF(H330=0,"",(H330-I330))</f>
        <v/>
      </c>
      <c r="K330" s="0">
        <f>IF(E330=0,"",(J330/E330))</f>
        <v/>
      </c>
      <c r="T330" s="48" t="n"/>
      <c r="U330" s="48" t="n"/>
      <c r="V330" s="48" t="n"/>
      <c r="W330" s="48" t="n"/>
    </row>
    <row r="331">
      <c r="C331" s="1" t="n">
        <v>46074</v>
      </c>
      <c r="D331" s="1">
        <f>TEXT(C331,"aaa")</f>
        <v/>
      </c>
      <c r="F331" s="0">
        <f>IF(E331=0,"",(E331-G331))</f>
        <v/>
      </c>
      <c r="J331" s="0">
        <f>IF(H331=0,"",(H331-I331))</f>
        <v/>
      </c>
      <c r="K331" s="0">
        <f>IF(E331=0,"",(J331/E331))</f>
        <v/>
      </c>
      <c r="T331" s="48" t="n"/>
      <c r="U331" s="48" t="n"/>
      <c r="V331" s="48" t="n"/>
      <c r="W331" s="48" t="n"/>
    </row>
    <row r="332">
      <c r="C332" s="1" t="n">
        <v>46075</v>
      </c>
      <c r="D332" s="1">
        <f>TEXT(C332,"aaa")</f>
        <v/>
      </c>
      <c r="F332" s="0">
        <f>IF(E332=0,"",(E332-G332))</f>
        <v/>
      </c>
      <c r="J332" s="0">
        <f>IF(H332=0,"",(H332-I332))</f>
        <v/>
      </c>
      <c r="K332" s="0">
        <f>IF(E332=0,"",(J332/E332))</f>
        <v/>
      </c>
      <c r="T332" s="48" t="n"/>
      <c r="U332" s="48" t="n"/>
      <c r="V332" s="48" t="n"/>
      <c r="W332" s="48" t="n"/>
    </row>
    <row r="333">
      <c r="C333" s="1" t="n">
        <v>46076</v>
      </c>
      <c r="D333" s="1">
        <f>TEXT(C333,"aaa")</f>
        <v/>
      </c>
      <c r="F333" s="0">
        <f>IF(E333=0,"",(E333-G333))</f>
        <v/>
      </c>
      <c r="J333" s="0">
        <f>IF(H333=0,"",(H333-I333))</f>
        <v/>
      </c>
      <c r="K333" s="0">
        <f>IF(E333=0,"",(J333/E333))</f>
        <v/>
      </c>
      <c r="T333" s="48" t="n"/>
      <c r="U333" s="48" t="n"/>
      <c r="V333" s="48" t="n"/>
      <c r="W333" s="48" t="n"/>
    </row>
    <row r="334">
      <c r="C334" s="1" t="n">
        <v>46077</v>
      </c>
      <c r="D334" s="1">
        <f>TEXT(C334,"aaa")</f>
        <v/>
      </c>
      <c r="F334" s="0">
        <f>IF(E334=0,"",(E334-G334))</f>
        <v/>
      </c>
      <c r="J334" s="0">
        <f>IF(H334=0,"",(H334-I334))</f>
        <v/>
      </c>
      <c r="K334" s="0">
        <f>IF(E334=0,"",(J334/E334))</f>
        <v/>
      </c>
      <c r="T334" s="48" t="n"/>
      <c r="U334" s="48" t="n"/>
      <c r="V334" s="48" t="n"/>
      <c r="W334" s="48" t="n"/>
    </row>
    <row r="335">
      <c r="C335" s="1" t="n">
        <v>46078</v>
      </c>
      <c r="D335" s="1">
        <f>TEXT(C335,"aaa")</f>
        <v/>
      </c>
      <c r="F335" s="0">
        <f>IF(E335=0,"",(E335-G335))</f>
        <v/>
      </c>
      <c r="J335" s="0">
        <f>IF(H335=0,"",(H335-I335))</f>
        <v/>
      </c>
      <c r="K335" s="0">
        <f>IF(E335=0,"",(J335/E335))</f>
        <v/>
      </c>
      <c r="T335" s="48" t="n"/>
      <c r="U335" s="48" t="n"/>
      <c r="V335" s="48" t="n"/>
      <c r="W335" s="48" t="n"/>
    </row>
    <row r="336">
      <c r="C336" s="1" t="n">
        <v>46078</v>
      </c>
      <c r="D336" s="1">
        <f>TEXT(C336,"aaa")</f>
        <v/>
      </c>
      <c r="F336" s="0">
        <f>IF(E336=0,"",(E336-G336))</f>
        <v/>
      </c>
      <c r="J336" s="0">
        <f>IF(H336=0,"",(H336-I336))</f>
        <v/>
      </c>
      <c r="K336" s="0">
        <f>IF(E336=0,"",(J336/E336))</f>
        <v/>
      </c>
      <c r="T336" s="48" t="n"/>
      <c r="U336" s="48" t="n"/>
      <c r="V336" s="48" t="n"/>
      <c r="W336" s="48" t="n"/>
    </row>
    <row r="337">
      <c r="C337" s="1" t="n">
        <v>46080</v>
      </c>
      <c r="D337" s="1">
        <f>TEXT(C337,"aaa")</f>
        <v/>
      </c>
      <c r="F337" s="0">
        <f>IF(E337=0,"",(E337-G337))</f>
        <v/>
      </c>
      <c r="J337" s="0">
        <f>IF(H337=0,"",(H337-I337))</f>
        <v/>
      </c>
      <c r="K337" s="0">
        <f>IF(E337=0,"",(J337/E337))</f>
        <v/>
      </c>
      <c r="T337" s="48" t="n"/>
      <c r="U337" s="48" t="n"/>
      <c r="V337" s="48" t="n"/>
      <c r="W337" s="48" t="n"/>
    </row>
    <row r="338" ht="18.6" customHeight="1" s="47" thickBot="1">
      <c r="A338" s="8" t="n"/>
      <c r="B338" s="8" t="n"/>
      <c r="C338" s="9" t="n">
        <v>46081</v>
      </c>
      <c r="D338" s="1">
        <f>TEXT(C338,"aaa")</f>
        <v/>
      </c>
      <c r="E338" s="8" t="n"/>
      <c r="F338" s="0">
        <f>IF(E338=0,"",(E338-G338))</f>
        <v/>
      </c>
      <c r="G338" s="8" t="n"/>
      <c r="H338" s="8" t="n"/>
      <c r="I338" s="8" t="n"/>
      <c r="J338" s="0">
        <f>IF(H338=0,"",(H338-I338))</f>
        <v/>
      </c>
      <c r="K338" s="0">
        <f>IF(E338=0,"",(J338/E338))</f>
        <v/>
      </c>
      <c r="L338" s="8" t="n"/>
      <c r="M338" s="8" t="n"/>
      <c r="N338" s="8" t="n"/>
      <c r="O338" s="8" t="n"/>
      <c r="P338" s="8" t="n"/>
      <c r="Q338" s="8" t="n"/>
      <c r="R338" s="8" t="n"/>
      <c r="T338" s="48" t="n"/>
      <c r="U338" s="48" t="n"/>
      <c r="V338" s="48" t="n"/>
      <c r="W338" s="48" t="n"/>
      <c r="X338" s="8" t="n"/>
      <c r="Y338" s="8" t="n"/>
    </row>
    <row r="339">
      <c r="C339" s="1" t="n">
        <v>46082</v>
      </c>
      <c r="D339" s="1">
        <f>TEXT(C339,"aaa")</f>
        <v/>
      </c>
      <c r="F339" s="0">
        <f>IF(E339=0,"",(E339-G339))</f>
        <v/>
      </c>
      <c r="J339" s="0">
        <f>IF(H339=0,"",(H339-I339))</f>
        <v/>
      </c>
      <c r="K339" s="0">
        <f>IF(E339=0,"",(J339/E339))</f>
        <v/>
      </c>
      <c r="T339" s="48" t="n"/>
      <c r="U339" s="48" t="n"/>
      <c r="V339" s="48" t="n"/>
      <c r="W339" s="48" t="n"/>
    </row>
    <row r="340">
      <c r="C340" s="1" t="n">
        <v>46083</v>
      </c>
      <c r="D340" s="1">
        <f>TEXT(C340,"aaa")</f>
        <v/>
      </c>
      <c r="F340" s="0">
        <f>IF(E340=0,"",(E340-G340))</f>
        <v/>
      </c>
      <c r="J340" s="0">
        <f>IF(H340=0,"",(H340-I340))</f>
        <v/>
      </c>
      <c r="K340" s="0">
        <f>IF(E340=0,"",(J340/E340))</f>
        <v/>
      </c>
      <c r="T340" s="48" t="n"/>
      <c r="U340" s="48" t="n"/>
      <c r="V340" s="48" t="n"/>
      <c r="W340" s="48" t="n"/>
    </row>
    <row r="341">
      <c r="C341" s="1" t="n">
        <v>46084</v>
      </c>
      <c r="D341" s="1">
        <f>TEXT(C341,"aaa")</f>
        <v/>
      </c>
      <c r="F341" s="0">
        <f>IF(E341=0,"",(E341-G341))</f>
        <v/>
      </c>
      <c r="J341" s="0">
        <f>IF(H341=0,"",(H341-I341))</f>
        <v/>
      </c>
      <c r="K341" s="0">
        <f>IF(E341=0,"",(J341/E341))</f>
        <v/>
      </c>
      <c r="T341" s="48" t="n"/>
      <c r="U341" s="48" t="n"/>
      <c r="V341" s="48" t="n"/>
      <c r="W341" s="48" t="n"/>
    </row>
    <row r="342">
      <c r="C342" s="1" t="n">
        <v>46084</v>
      </c>
      <c r="D342" s="1">
        <f>TEXT(C342,"aaa")</f>
        <v/>
      </c>
      <c r="F342" s="0">
        <f>IF(E342=0,"",(E342-G342))</f>
        <v/>
      </c>
      <c r="J342" s="0">
        <f>IF(H342=0,"",(H342-I342))</f>
        <v/>
      </c>
      <c r="K342" s="0">
        <f>IF(E342=0,"",(J342/E342))</f>
        <v/>
      </c>
      <c r="T342" s="48" t="n"/>
      <c r="U342" s="48" t="n"/>
      <c r="V342" s="48" t="n"/>
      <c r="W342" s="48" t="n"/>
    </row>
    <row r="343">
      <c r="C343" s="1" t="n">
        <v>46086</v>
      </c>
      <c r="D343" s="1">
        <f>TEXT(C343,"aaa")</f>
        <v/>
      </c>
      <c r="F343" s="0">
        <f>IF(E343=0,"",(E343-G343))</f>
        <v/>
      </c>
      <c r="J343" s="0">
        <f>IF(H343=0,"",(H343-I343))</f>
        <v/>
      </c>
      <c r="K343" s="0">
        <f>IF(E343=0,"",(J343/E343))</f>
        <v/>
      </c>
      <c r="T343" s="48" t="n"/>
      <c r="U343" s="48" t="n"/>
      <c r="V343" s="48" t="n"/>
      <c r="W343" s="48" t="n"/>
    </row>
    <row r="344">
      <c r="C344" s="1" t="n">
        <v>46087</v>
      </c>
      <c r="D344" s="1">
        <f>TEXT(C344,"aaa")</f>
        <v/>
      </c>
      <c r="F344" s="0">
        <f>IF(E344=0,"",(E344-G344))</f>
        <v/>
      </c>
      <c r="J344" s="0">
        <f>IF(H344=0,"",(H344-I344))</f>
        <v/>
      </c>
      <c r="K344" s="0">
        <f>IF(E344=0,"",(J344/E344))</f>
        <v/>
      </c>
      <c r="T344" s="48" t="n"/>
      <c r="U344" s="48" t="n"/>
      <c r="V344" s="48" t="n"/>
      <c r="W344" s="48" t="n"/>
    </row>
    <row r="345">
      <c r="C345" s="1" t="n">
        <v>46088</v>
      </c>
      <c r="D345" s="1">
        <f>TEXT(C345,"aaa")</f>
        <v/>
      </c>
      <c r="F345" s="0">
        <f>IF(E345=0,"",(E345-G345))</f>
        <v/>
      </c>
      <c r="J345" s="0">
        <f>IF(H345=0,"",(H345-I345))</f>
        <v/>
      </c>
      <c r="K345" s="0">
        <f>IF(E345=0,"",(J345/E345))</f>
        <v/>
      </c>
      <c r="T345" s="48" t="n"/>
      <c r="U345" s="48" t="n"/>
      <c r="V345" s="48" t="n"/>
      <c r="W345" s="48" t="n"/>
    </row>
    <row r="346">
      <c r="C346" s="1" t="n">
        <v>46089</v>
      </c>
      <c r="D346" s="1">
        <f>TEXT(C346,"aaa")</f>
        <v/>
      </c>
      <c r="F346" s="0">
        <f>IF(E346=0,"",(E346-G346))</f>
        <v/>
      </c>
      <c r="J346" s="0">
        <f>IF(H346=0,"",(H346-I346))</f>
        <v/>
      </c>
      <c r="K346" s="0">
        <f>IF(E346=0,"",(J346/E346))</f>
        <v/>
      </c>
      <c r="T346" s="48" t="n"/>
      <c r="U346" s="48" t="n"/>
      <c r="V346" s="48" t="n"/>
      <c r="W346" s="48" t="n"/>
    </row>
    <row r="347">
      <c r="C347" s="1" t="n">
        <v>46090</v>
      </c>
      <c r="D347" s="1">
        <f>TEXT(C347,"aaa")</f>
        <v/>
      </c>
      <c r="F347" s="0">
        <f>IF(E347=0,"",(E347-G347))</f>
        <v/>
      </c>
      <c r="J347" s="0">
        <f>IF(H347=0,"",(H347-I347))</f>
        <v/>
      </c>
      <c r="K347" s="0">
        <f>IF(E347=0,"",(J347/E347))</f>
        <v/>
      </c>
      <c r="T347" s="48" t="n"/>
      <c r="U347" s="48" t="n"/>
      <c r="V347" s="48" t="n"/>
      <c r="W347" s="48" t="n"/>
    </row>
    <row r="348">
      <c r="C348" s="1" t="n">
        <v>46091</v>
      </c>
      <c r="D348" s="1">
        <f>TEXT(C348,"aaa")</f>
        <v/>
      </c>
      <c r="F348" s="0">
        <f>IF(E348=0,"",(E348-G348))</f>
        <v/>
      </c>
      <c r="J348" s="0">
        <f>IF(H348=0,"",(H348-I348))</f>
        <v/>
      </c>
      <c r="K348" s="0">
        <f>IF(E348=0,"",(J348/E348))</f>
        <v/>
      </c>
      <c r="T348" s="48" t="n"/>
      <c r="U348" s="48" t="n"/>
      <c r="V348" s="48" t="n"/>
      <c r="W348" s="48" t="n"/>
    </row>
    <row r="349">
      <c r="C349" s="1" t="n">
        <v>46092</v>
      </c>
      <c r="D349" s="1">
        <f>TEXT(C349,"aaa")</f>
        <v/>
      </c>
      <c r="F349" s="0">
        <f>IF(E349=0,"",(E349-G349))</f>
        <v/>
      </c>
      <c r="J349" s="0">
        <f>IF(H349=0,"",(H349-I349))</f>
        <v/>
      </c>
      <c r="K349" s="0">
        <f>IF(E349=0,"",(J349/E349))</f>
        <v/>
      </c>
      <c r="T349" s="48" t="n"/>
      <c r="U349" s="48" t="n"/>
      <c r="V349" s="48" t="n"/>
      <c r="W349" s="48" t="n"/>
    </row>
    <row r="350">
      <c r="C350" s="1" t="n">
        <v>46092</v>
      </c>
      <c r="D350" s="1">
        <f>TEXT(C350,"aaa")</f>
        <v/>
      </c>
      <c r="F350" s="0">
        <f>IF(E350=0,"",(E350-G350))</f>
        <v/>
      </c>
      <c r="J350" s="0">
        <f>IF(H350=0,"",(H350-I350))</f>
        <v/>
      </c>
      <c r="K350" s="0">
        <f>IF(E350=0,"",(J350/E350))</f>
        <v/>
      </c>
      <c r="T350" s="48" t="n"/>
      <c r="U350" s="48" t="n"/>
      <c r="V350" s="48" t="n"/>
      <c r="W350" s="48" t="n"/>
    </row>
    <row r="351">
      <c r="C351" s="1" t="n">
        <v>46094</v>
      </c>
      <c r="D351" s="1">
        <f>TEXT(C351,"aaa")</f>
        <v/>
      </c>
      <c r="F351" s="0">
        <f>IF(E351=0,"",(E351-G351))</f>
        <v/>
      </c>
      <c r="J351" s="0">
        <f>IF(H351=0,"",(H351-I351))</f>
        <v/>
      </c>
      <c r="K351" s="0">
        <f>IF(E351=0,"",(J351/E351))</f>
        <v/>
      </c>
      <c r="T351" s="48" t="n"/>
      <c r="U351" s="48" t="n"/>
      <c r="V351" s="48" t="n"/>
      <c r="W351" s="48" t="n"/>
    </row>
    <row r="352">
      <c r="C352" s="1" t="n">
        <v>46095</v>
      </c>
      <c r="D352" s="1">
        <f>TEXT(C352,"aaa")</f>
        <v/>
      </c>
      <c r="F352" s="0">
        <f>IF(E352=0,"",(E352-G352))</f>
        <v/>
      </c>
      <c r="J352" s="0">
        <f>IF(H352=0,"",(H352-I352))</f>
        <v/>
      </c>
      <c r="K352" s="0">
        <f>IF(E352=0,"",(J352/E352))</f>
        <v/>
      </c>
      <c r="T352" s="48" t="n"/>
      <c r="U352" s="48" t="n"/>
      <c r="V352" s="48" t="n"/>
      <c r="W352" s="48" t="n"/>
    </row>
    <row r="353">
      <c r="C353" s="1" t="n">
        <v>46096</v>
      </c>
      <c r="D353" s="1">
        <f>TEXT(C353,"aaa")</f>
        <v/>
      </c>
      <c r="F353" s="0">
        <f>IF(E353=0,"",(E353-G353))</f>
        <v/>
      </c>
      <c r="J353" s="0">
        <f>IF(H353=0,"",(H353-I353))</f>
        <v/>
      </c>
      <c r="K353" s="0">
        <f>IF(E353=0,"",(J353/E353))</f>
        <v/>
      </c>
      <c r="T353" s="48" t="n"/>
      <c r="U353" s="48" t="n"/>
      <c r="V353" s="48" t="n"/>
      <c r="W353" s="48" t="n"/>
    </row>
    <row r="354">
      <c r="C354" s="1" t="n">
        <v>46097</v>
      </c>
      <c r="D354" s="1">
        <f>TEXT(C354,"aaa")</f>
        <v/>
      </c>
      <c r="F354" s="0">
        <f>IF(E354=0,"",(E354-G354))</f>
        <v/>
      </c>
      <c r="J354" s="0">
        <f>IF(H354=0,"",(H354-I354))</f>
        <v/>
      </c>
      <c r="K354" s="0">
        <f>IF(E354=0,"",(J354/E354))</f>
        <v/>
      </c>
      <c r="T354" s="48" t="n"/>
      <c r="U354" s="48" t="n"/>
      <c r="V354" s="48" t="n"/>
      <c r="W354" s="48" t="n"/>
    </row>
    <row r="355">
      <c r="C355" s="1" t="n">
        <v>46098</v>
      </c>
      <c r="D355" s="1">
        <f>TEXT(C355,"aaa")</f>
        <v/>
      </c>
      <c r="F355" s="0">
        <f>IF(E355=0,"",(E355-G355))</f>
        <v/>
      </c>
      <c r="J355" s="0">
        <f>IF(H355=0,"",(H355-I355))</f>
        <v/>
      </c>
      <c r="K355" s="0">
        <f>IF(E355=0,"",(J355/E355))</f>
        <v/>
      </c>
      <c r="T355" s="48" t="n"/>
      <c r="U355" s="48" t="n"/>
      <c r="V355" s="48" t="n"/>
      <c r="W355" s="48" t="n"/>
    </row>
    <row r="356">
      <c r="C356" s="1" t="n">
        <v>46099</v>
      </c>
      <c r="D356" s="1">
        <f>TEXT(C356,"aaa")</f>
        <v/>
      </c>
      <c r="F356" s="0">
        <f>IF(E356=0,"",(E356-G356))</f>
        <v/>
      </c>
      <c r="J356" s="0">
        <f>IF(H356=0,"",(H356-I356))</f>
        <v/>
      </c>
      <c r="K356" s="0">
        <f>IF(E356=0,"",(J356/E356))</f>
        <v/>
      </c>
      <c r="T356" s="48" t="n"/>
      <c r="U356" s="48" t="n"/>
      <c r="V356" s="48" t="n"/>
      <c r="W356" s="48" t="n"/>
    </row>
    <row r="357">
      <c r="C357" s="1" t="n">
        <v>46100</v>
      </c>
      <c r="D357" s="1">
        <f>TEXT(C357,"aaa")</f>
        <v/>
      </c>
      <c r="F357" s="0">
        <f>IF(E357=0,"",(E357-G357))</f>
        <v/>
      </c>
      <c r="J357" s="0">
        <f>IF(H357=0,"",(H357-I357))</f>
        <v/>
      </c>
      <c r="K357" s="0">
        <f>IF(E357=0,"",(J357/E357))</f>
        <v/>
      </c>
      <c r="T357" s="48" t="n"/>
      <c r="U357" s="48" t="n"/>
      <c r="V357" s="48" t="n"/>
      <c r="W357" s="48" t="n"/>
    </row>
    <row r="358">
      <c r="C358" s="1" t="n">
        <v>46101</v>
      </c>
      <c r="D358" s="1">
        <f>TEXT(C358,"aaa")</f>
        <v/>
      </c>
      <c r="F358" s="0">
        <f>IF(E358=0,"",(E358-G358))</f>
        <v/>
      </c>
      <c r="J358" s="0">
        <f>IF(H358=0,"",(H358-I358))</f>
        <v/>
      </c>
      <c r="K358" s="0">
        <f>IF(E358=0,"",(J358/E358))</f>
        <v/>
      </c>
      <c r="T358" s="48" t="n"/>
      <c r="U358" s="48" t="n"/>
      <c r="V358" s="48" t="n"/>
      <c r="W358" s="48" t="n"/>
    </row>
    <row r="359">
      <c r="C359" s="1" t="n">
        <v>46102</v>
      </c>
      <c r="D359" s="1">
        <f>TEXT(C359,"aaa")</f>
        <v/>
      </c>
      <c r="F359" s="0">
        <f>IF(E359=0,"",(E359-G359))</f>
        <v/>
      </c>
      <c r="J359" s="0">
        <f>IF(H359=0,"",(H359-I359))</f>
        <v/>
      </c>
      <c r="K359" s="0">
        <f>IF(E359=0,"",(J359/E359))</f>
        <v/>
      </c>
      <c r="T359" s="48" t="n"/>
      <c r="U359" s="48" t="n"/>
      <c r="V359" s="48" t="n"/>
      <c r="W359" s="48" t="n"/>
    </row>
    <row r="360">
      <c r="C360" s="1" t="n">
        <v>46103</v>
      </c>
      <c r="D360" s="1">
        <f>TEXT(C360,"aaa")</f>
        <v/>
      </c>
      <c r="F360" s="0">
        <f>IF(E360=0,"",(E360-G360))</f>
        <v/>
      </c>
      <c r="J360" s="0">
        <f>IF(H360=0,"",(H360-I360))</f>
        <v/>
      </c>
      <c r="K360" s="0">
        <f>IF(E360=0,"",(J360/E360))</f>
        <v/>
      </c>
      <c r="T360" s="48" t="n"/>
      <c r="U360" s="48" t="n"/>
      <c r="V360" s="48" t="n"/>
      <c r="W360" s="48" t="n"/>
    </row>
    <row r="361">
      <c r="C361" s="1" t="n">
        <v>46104</v>
      </c>
      <c r="D361" s="1">
        <f>TEXT(C361,"aaa")</f>
        <v/>
      </c>
      <c r="F361" s="0">
        <f>IF(E361=0,"",(E361-G361))</f>
        <v/>
      </c>
      <c r="J361" s="0">
        <f>IF(H361=0,"",(H361-I361))</f>
        <v/>
      </c>
      <c r="K361" s="0">
        <f>IF(E361=0,"",(J361/E361))</f>
        <v/>
      </c>
      <c r="T361" s="48" t="n"/>
      <c r="U361" s="48" t="n"/>
      <c r="V361" s="48" t="n"/>
      <c r="W361" s="48" t="n"/>
    </row>
    <row r="362">
      <c r="C362" s="1" t="n">
        <v>46105</v>
      </c>
      <c r="D362" s="1">
        <f>TEXT(C362,"aaa")</f>
        <v/>
      </c>
      <c r="F362" s="0">
        <f>IF(E362=0,"",(E362-G362))</f>
        <v/>
      </c>
      <c r="J362" s="0">
        <f>IF(H362=0,"",(H362-I362))</f>
        <v/>
      </c>
      <c r="K362" s="0">
        <f>IF(E362=0,"",(J362/E362))</f>
        <v/>
      </c>
      <c r="T362" s="48" t="n"/>
      <c r="U362" s="48" t="n"/>
      <c r="V362" s="48" t="n"/>
      <c r="W362" s="48" t="n"/>
    </row>
    <row r="363">
      <c r="C363" s="1" t="n">
        <v>46105</v>
      </c>
      <c r="D363" s="1">
        <f>TEXT(C363,"aaa")</f>
        <v/>
      </c>
      <c r="F363" s="0">
        <f>IF(E363=0,"",(E363-G363))</f>
        <v/>
      </c>
      <c r="J363" s="0">
        <f>IF(H363=0,"",(H363-I363))</f>
        <v/>
      </c>
      <c r="K363" s="0">
        <f>IF(E363=0,"",(J363/E363))</f>
        <v/>
      </c>
      <c r="T363" s="48" t="n"/>
      <c r="U363" s="48" t="n"/>
      <c r="V363" s="48" t="n"/>
      <c r="W363" s="48" t="n"/>
    </row>
    <row r="364">
      <c r="C364" s="1" t="n">
        <v>46107</v>
      </c>
      <c r="D364" s="1">
        <f>TEXT(C364,"aaa")</f>
        <v/>
      </c>
      <c r="F364" s="0">
        <f>IF(E364=0,"",(E364-G364))</f>
        <v/>
      </c>
      <c r="J364" s="0">
        <f>IF(H364=0,"",(H364-I364))</f>
        <v/>
      </c>
      <c r="K364" s="0">
        <f>IF(E364=0,"",(J364/E364))</f>
        <v/>
      </c>
      <c r="T364" s="48" t="n"/>
      <c r="U364" s="48" t="n"/>
      <c r="V364" s="48" t="n"/>
      <c r="W364" s="48" t="n"/>
    </row>
    <row r="365">
      <c r="C365" s="1" t="n">
        <v>46108</v>
      </c>
      <c r="D365" s="1">
        <f>TEXT(C365,"aaa")</f>
        <v/>
      </c>
      <c r="F365" s="0">
        <f>IF(E365=0,"",(E365-G365))</f>
        <v/>
      </c>
      <c r="J365" s="0">
        <f>IF(H365=0,"",(H365-I365))</f>
        <v/>
      </c>
      <c r="K365" s="0">
        <f>IF(E365=0,"",(J365/E365))</f>
        <v/>
      </c>
      <c r="T365" s="48" t="n"/>
      <c r="U365" s="48" t="n"/>
      <c r="V365" s="48" t="n"/>
      <c r="W365" s="48" t="n"/>
    </row>
    <row r="366">
      <c r="C366" s="1" t="n">
        <v>46109</v>
      </c>
      <c r="D366" s="1">
        <f>TEXT(C366,"aaa")</f>
        <v/>
      </c>
      <c r="F366" s="0">
        <f>IF(E366=0,"",(E366-G366))</f>
        <v/>
      </c>
      <c r="J366" s="0">
        <f>IF(H366=0,"",(H366-I366))</f>
        <v/>
      </c>
      <c r="K366" s="0">
        <f>IF(E366=0,"",(J366/E366))</f>
        <v/>
      </c>
      <c r="T366" s="48" t="n"/>
      <c r="U366" s="48" t="n"/>
      <c r="V366" s="48" t="n"/>
      <c r="W366" s="48" t="n"/>
    </row>
    <row r="367">
      <c r="C367" s="1" t="n">
        <v>46110</v>
      </c>
      <c r="D367" s="1">
        <f>TEXT(C367,"aaa")</f>
        <v/>
      </c>
      <c r="F367" s="0">
        <f>IF(E367=0,"",(E367-G367))</f>
        <v/>
      </c>
      <c r="J367" s="0">
        <f>IF(H367=0,"",(H367-I367))</f>
        <v/>
      </c>
      <c r="K367" s="0">
        <f>IF(E367=0,"",(J367/E367))</f>
        <v/>
      </c>
      <c r="T367" s="48" t="n"/>
      <c r="U367" s="48" t="n"/>
      <c r="V367" s="48" t="n"/>
      <c r="W367" s="48" t="n"/>
    </row>
    <row r="368">
      <c r="C368" s="1" t="n">
        <v>46111</v>
      </c>
      <c r="D368" s="1">
        <f>TEXT(C368,"aaa")</f>
        <v/>
      </c>
      <c r="F368" s="0">
        <f>IF(E368=0,"",(E368-G368))</f>
        <v/>
      </c>
      <c r="J368" s="0">
        <f>IF(H368=0,"",(H368-I368))</f>
        <v/>
      </c>
      <c r="K368" s="0">
        <f>IF(E368=0,"",(J368/E368))</f>
        <v/>
      </c>
      <c r="T368" s="48" t="n"/>
      <c r="U368" s="48" t="n"/>
      <c r="V368" s="48" t="n"/>
      <c r="W368" s="48" t="n"/>
    </row>
    <row r="369">
      <c r="C369" s="1" t="n">
        <v>46112</v>
      </c>
      <c r="D369" s="1">
        <f>TEXT(C369,"aaa")</f>
        <v/>
      </c>
      <c r="F369" s="0">
        <f>IF(E369=0,"",(E369-G369))</f>
        <v/>
      </c>
      <c r="J369" s="0">
        <f>IF(H369=0,"",(H369-I369))</f>
        <v/>
      </c>
      <c r="K369" s="0">
        <f>IF(E369=0,"",(J369/E369))</f>
        <v/>
      </c>
      <c r="T369" s="48" t="n"/>
      <c r="U369" s="48" t="n"/>
      <c r="V369" s="48" t="n"/>
      <c r="W369" s="48" t="n"/>
    </row>
    <row r="370">
      <c r="C370" s="1" t="n">
        <v>46113</v>
      </c>
      <c r="D370" s="1">
        <f>TEXT(C370,"aaa")</f>
        <v/>
      </c>
      <c r="F370" s="0">
        <f>IF(E370=0,"",(E370-G370))</f>
        <v/>
      </c>
      <c r="J370" s="0">
        <f>IF(H370=0,"",(H370-I370))</f>
        <v/>
      </c>
      <c r="K370" s="0">
        <f>IF(E370=0,"",(J370/E370))</f>
        <v/>
      </c>
      <c r="T370" s="48" t="n"/>
      <c r="U370" s="48" t="n"/>
      <c r="V370" s="48" t="n"/>
      <c r="W370" s="48" t="n"/>
    </row>
    <row r="371">
      <c r="C371" s="1" t="n">
        <v>46114</v>
      </c>
      <c r="D371" s="1">
        <f>TEXT(C371,"aaa")</f>
        <v/>
      </c>
      <c r="F371" s="0">
        <f>IF(E371=0,"",(E371-G371))</f>
        <v/>
      </c>
      <c r="J371" s="0">
        <f>IF(H371=0,"",(H371-I371))</f>
        <v/>
      </c>
      <c r="K371" s="0">
        <f>IF(E371=0,"",(J371/E371))</f>
        <v/>
      </c>
    </row>
    <row r="372">
      <c r="C372" s="1" t="n">
        <v>46115</v>
      </c>
      <c r="D372" s="1">
        <f>TEXT(C372,"aaa")</f>
        <v/>
      </c>
      <c r="F372" s="0">
        <f>IF(E372=0,"",(E372-G372))</f>
        <v/>
      </c>
      <c r="J372" s="0">
        <f>IF(H372=0,"",(H372-I372))</f>
        <v/>
      </c>
      <c r="K372" s="0">
        <f>IF(E372=0,"",(J372/E372))</f>
        <v/>
      </c>
    </row>
    <row r="373">
      <c r="C373" s="1" t="n">
        <v>46116</v>
      </c>
      <c r="D373" s="1">
        <f>TEXT(C373,"aaa")</f>
        <v/>
      </c>
      <c r="F373" s="0">
        <f>IF(E373=0,"",(E373-G373))</f>
        <v/>
      </c>
      <c r="J373" s="0">
        <f>IF(H373=0,"",(H373-I373))</f>
        <v/>
      </c>
      <c r="K373" s="0">
        <f>IF(E373=0,"",(J373/E373))</f>
        <v/>
      </c>
    </row>
    <row r="374">
      <c r="C374" s="1" t="n">
        <v>46117</v>
      </c>
      <c r="D374" s="1">
        <f>TEXT(C374,"aaa")</f>
        <v/>
      </c>
      <c r="F374" s="0">
        <f>IF(E374=0,"",(E374-G374))</f>
        <v/>
      </c>
      <c r="J374" s="0">
        <f>IF(H374=0,"",(H374-I374))</f>
        <v/>
      </c>
      <c r="K374" s="0">
        <f>IF(E374=0,"",(J374/E374))</f>
        <v/>
      </c>
    </row>
    <row r="375">
      <c r="C375" s="1" t="n">
        <v>46118</v>
      </c>
      <c r="D375" s="1">
        <f>TEXT(C375,"aaa")</f>
        <v/>
      </c>
      <c r="F375" s="0">
        <f>IF(E375=0,"",(E375-G375))</f>
        <v/>
      </c>
      <c r="J375" s="0">
        <f>IF(H375=0,"",(H375-I375))</f>
        <v/>
      </c>
      <c r="K375" s="0">
        <f>IF(E375=0,"",(J375/E375))</f>
        <v/>
      </c>
    </row>
    <row r="376">
      <c r="C376" s="1" t="n">
        <v>46119</v>
      </c>
      <c r="D376" s="1">
        <f>TEXT(C376,"aaa")</f>
        <v/>
      </c>
      <c r="F376" s="0">
        <f>IF(E376=0,"",(E376-G376))</f>
        <v/>
      </c>
      <c r="J376" s="0">
        <f>IF(H376=0,"",(H376-I376))</f>
        <v/>
      </c>
      <c r="K376" s="0">
        <f>IF(E376=0,"",(J376/E376))</f>
        <v/>
      </c>
    </row>
    <row r="377">
      <c r="C377" s="1" t="n">
        <v>46119</v>
      </c>
      <c r="D377" s="1">
        <f>TEXT(C377,"aaa")</f>
        <v/>
      </c>
      <c r="F377" s="0">
        <f>IF(E377=0,"",(E377-G377))</f>
        <v/>
      </c>
      <c r="J377" s="0">
        <f>IF(H377=0,"",(H377-I377))</f>
        <v/>
      </c>
      <c r="K377" s="0">
        <f>IF(E377=0,"",(J377/E377))</f>
        <v/>
      </c>
    </row>
    <row r="378">
      <c r="C378" s="1" t="n">
        <v>46120</v>
      </c>
      <c r="D378" s="1">
        <f>TEXT(C378,"aaa")</f>
        <v/>
      </c>
      <c r="F378" s="0">
        <f>IF(E378=0,"",(E378-G378))</f>
        <v/>
      </c>
      <c r="J378" s="0">
        <f>IF(H378=0,"",(H378-I378))</f>
        <v/>
      </c>
      <c r="K378" s="0">
        <f>IF(E378=0,"",(J378/E378))</f>
        <v/>
      </c>
    </row>
    <row r="379">
      <c r="C379" s="1" t="n">
        <v>46122</v>
      </c>
      <c r="D379" s="1">
        <f>TEXT(C379,"aaa")</f>
        <v/>
      </c>
      <c r="F379" s="0">
        <f>IF(E379=0,"",(E379-G379))</f>
        <v/>
      </c>
      <c r="J379" s="0">
        <f>IF(H379=0,"",(H379-I379))</f>
        <v/>
      </c>
      <c r="K379" s="0">
        <f>IF(E379=0,"",(J379/E379))</f>
        <v/>
      </c>
    </row>
    <row r="380">
      <c r="C380" s="1" t="n">
        <v>46123</v>
      </c>
      <c r="D380" s="1">
        <f>TEXT(C380,"aaa")</f>
        <v/>
      </c>
      <c r="F380" s="0">
        <f>IF(E380=0,"",(E380-G380))</f>
        <v/>
      </c>
      <c r="J380" s="0">
        <f>IF(H380=0,"",(H380-I380))</f>
        <v/>
      </c>
      <c r="K380" s="0">
        <f>IF(E380=0,"",(J380/E380))</f>
        <v/>
      </c>
    </row>
    <row r="381">
      <c r="C381" s="1" t="n">
        <v>46124</v>
      </c>
      <c r="D381" s="1">
        <f>TEXT(C381,"aaa")</f>
        <v/>
      </c>
      <c r="F381" s="0">
        <f>IF(E381=0,"",(E381-G381))</f>
        <v/>
      </c>
      <c r="J381" s="0">
        <f>IF(H381=0,"",(H381-I381))</f>
        <v/>
      </c>
      <c r="K381" s="0">
        <f>IF(E381=0,"",(J381/E381))</f>
        <v/>
      </c>
    </row>
    <row r="382">
      <c r="C382" s="1" t="n">
        <v>46125</v>
      </c>
      <c r="D382" s="1">
        <f>TEXT(C382,"aaa")</f>
        <v/>
      </c>
      <c r="F382" s="0">
        <f>IF(E382=0,"",(E382-G382))</f>
        <v/>
      </c>
      <c r="J382" s="0">
        <f>IF(H382=0,"",(H382-I382))</f>
        <v/>
      </c>
      <c r="K382" s="0">
        <f>IF(E382=0,"",(J382/E382))</f>
        <v/>
      </c>
    </row>
    <row r="383">
      <c r="C383" s="1" t="n">
        <v>46126</v>
      </c>
      <c r="D383" s="1">
        <f>TEXT(C383,"aaa")</f>
        <v/>
      </c>
      <c r="F383" s="0">
        <f>IF(E383=0,"",(E383-G383))</f>
        <v/>
      </c>
      <c r="J383" s="0">
        <f>IF(H383=0,"",(H383-I383))</f>
        <v/>
      </c>
      <c r="K383" s="0">
        <f>IF(E383=0,"",(J383/E383))</f>
        <v/>
      </c>
    </row>
    <row r="384">
      <c r="C384" s="1" t="n">
        <v>46126</v>
      </c>
      <c r="D384" s="1">
        <f>TEXT(C384,"aaa")</f>
        <v/>
      </c>
      <c r="F384" s="0">
        <f>IF(E384=0,"",(E384-G384))</f>
        <v/>
      </c>
      <c r="J384" s="0">
        <f>IF(H384=0,"",(H384-I384))</f>
        <v/>
      </c>
      <c r="K384" s="0">
        <f>IF(E384=0,"",(J384/E384))</f>
        <v/>
      </c>
    </row>
    <row r="385">
      <c r="C385" s="1" t="n">
        <v>46128</v>
      </c>
      <c r="D385" s="1">
        <f>TEXT(C385,"aaa")</f>
        <v/>
      </c>
      <c r="F385" s="0">
        <f>IF(E385=0,"",(E385-G385))</f>
        <v/>
      </c>
      <c r="J385" s="0">
        <f>IF(H385=0,"",(H385-I385))</f>
        <v/>
      </c>
      <c r="K385" s="0">
        <f>IF(E385=0,"",(J385/E385))</f>
        <v/>
      </c>
    </row>
    <row r="386">
      <c r="C386" s="1" t="n">
        <v>46129</v>
      </c>
      <c r="D386" s="1">
        <f>TEXT(C386,"aaa")</f>
        <v/>
      </c>
      <c r="F386" s="0">
        <f>IF(E386=0,"",(E386-G386))</f>
        <v/>
      </c>
      <c r="J386" s="0">
        <f>IF(H386=0,"",(H386-I386))</f>
        <v/>
      </c>
      <c r="K386" s="0">
        <f>IF(E386=0,"",(J386/E386))</f>
        <v/>
      </c>
    </row>
    <row r="387">
      <c r="C387" s="1" t="n">
        <v>46130</v>
      </c>
      <c r="D387" s="1">
        <f>TEXT(C387,"aaa")</f>
        <v/>
      </c>
      <c r="F387" s="0">
        <f>IF(E387=0,"",(E387-G387))</f>
        <v/>
      </c>
      <c r="J387" s="0">
        <f>IF(H387=0,"",(H387-I387))</f>
        <v/>
      </c>
      <c r="K387" s="0">
        <f>IF(E387=0,"",(J387/E387))</f>
        <v/>
      </c>
    </row>
    <row r="388">
      <c r="C388" s="1" t="n">
        <v>46131</v>
      </c>
      <c r="D388" s="1">
        <f>TEXT(C388,"aaa")</f>
        <v/>
      </c>
      <c r="F388" s="0">
        <f>IF(E388=0,"",(E388-G388))</f>
        <v/>
      </c>
      <c r="J388" s="0">
        <f>IF(H388=0,"",(H388-I388))</f>
        <v/>
      </c>
      <c r="K388" s="0">
        <f>IF(E388=0,"",(J388/E388))</f>
        <v/>
      </c>
    </row>
    <row r="389">
      <c r="C389" s="1" t="n">
        <v>46132</v>
      </c>
      <c r="D389" s="1">
        <f>TEXT(C389,"aaa")</f>
        <v/>
      </c>
      <c r="F389" s="0">
        <f>IF(E389=0,"",(E389-G389))</f>
        <v/>
      </c>
      <c r="J389" s="0">
        <f>IF(H389=0,"",(H389-I389))</f>
        <v/>
      </c>
      <c r="K389" s="0">
        <f>IF(E389=0,"",(J389/E389))</f>
        <v/>
      </c>
    </row>
    <row r="390">
      <c r="C390" s="1" t="n">
        <v>46132</v>
      </c>
      <c r="D390" s="1">
        <f>TEXT(C390,"aaa")</f>
        <v/>
      </c>
      <c r="F390" s="0">
        <f>IF(E390=0,"",(E390-G390))</f>
        <v/>
      </c>
      <c r="J390" s="0">
        <f>IF(H390=0,"",(H390-I390))</f>
        <v/>
      </c>
      <c r="K390" s="0">
        <f>IF(E390=0,"",(J390/E390))</f>
        <v/>
      </c>
    </row>
    <row r="391">
      <c r="C391" s="1" t="n">
        <v>46133</v>
      </c>
      <c r="D391" s="1">
        <f>TEXT(C391,"aaa")</f>
        <v/>
      </c>
      <c r="F391" s="0">
        <f>IF(E391=0,"",(E391-G391))</f>
        <v/>
      </c>
      <c r="J391" s="0">
        <f>IF(H391=0,"",(H391-I391))</f>
        <v/>
      </c>
      <c r="K391" s="0">
        <f>IF(E391=0,"",(J391/E391))</f>
        <v/>
      </c>
    </row>
    <row r="392">
      <c r="C392" s="1" t="n">
        <v>46133</v>
      </c>
      <c r="D392" s="1">
        <f>TEXT(C392,"aaa")</f>
        <v/>
      </c>
      <c r="F392" s="0">
        <f>IF(E392=0,"",(E392-G392))</f>
        <v/>
      </c>
      <c r="J392" s="0">
        <f>IF(H392=0,"",(H392-I392))</f>
        <v/>
      </c>
      <c r="K392" s="0">
        <f>IF(E392=0,"",(J392/E392))</f>
        <v/>
      </c>
    </row>
    <row r="393">
      <c r="C393" s="1" t="n">
        <v>46135</v>
      </c>
      <c r="D393" s="1">
        <f>TEXT(C393,"aaa")</f>
        <v/>
      </c>
      <c r="F393" s="0">
        <f>IF(E393=0,"",(E393-G393))</f>
        <v/>
      </c>
      <c r="J393" s="0">
        <f>IF(H393=0,"",(H393-I393))</f>
        <v/>
      </c>
      <c r="K393" s="0">
        <f>IF(E393=0,"",(J393/E393))</f>
        <v/>
      </c>
    </row>
    <row r="394">
      <c r="C394" s="1" t="n">
        <v>46137</v>
      </c>
      <c r="D394" s="1">
        <f>TEXT(C394,"aaa")</f>
        <v/>
      </c>
      <c r="F394" s="0">
        <f>IF(E394=0,"",(E394-G394))</f>
        <v/>
      </c>
      <c r="J394" s="0">
        <f>IF(H394=0,"",(H394-I394))</f>
        <v/>
      </c>
      <c r="K394" s="0">
        <f>IF(E394=0,"",(J394/E394))</f>
        <v/>
      </c>
    </row>
    <row r="395">
      <c r="C395" s="1" t="n">
        <v>46138</v>
      </c>
      <c r="D395" s="1">
        <f>TEXT(C395,"aaa")</f>
        <v/>
      </c>
      <c r="F395" s="0">
        <f>IF(E395=0,"",(E395-G395))</f>
        <v/>
      </c>
      <c r="J395" s="0">
        <f>IF(H395=0,"",(H395-I395))</f>
        <v/>
      </c>
      <c r="K395" s="0">
        <f>IF(E395=0,"",(J395/E395))</f>
        <v/>
      </c>
    </row>
    <row r="396">
      <c r="C396" s="1" t="n">
        <v>46139</v>
      </c>
      <c r="D396" s="1">
        <f>TEXT(C396,"aaa")</f>
        <v/>
      </c>
      <c r="F396" s="0">
        <f>IF(E396=0,"",(E396-G396))</f>
        <v/>
      </c>
      <c r="J396" s="0">
        <f>IF(H396=0,"",(H396-I396))</f>
        <v/>
      </c>
      <c r="K396" s="0">
        <f>IF(E396=0,"",(J396/E396))</f>
        <v/>
      </c>
    </row>
    <row r="397">
      <c r="C397" s="1" t="n">
        <v>46140</v>
      </c>
      <c r="D397" s="1">
        <f>TEXT(C397,"aaa")</f>
        <v/>
      </c>
      <c r="F397" s="0">
        <f>IF(E397=0,"",(E397-G397))</f>
        <v/>
      </c>
      <c r="J397" s="0">
        <f>IF(H397=0,"",(H397-I397))</f>
        <v/>
      </c>
      <c r="K397" s="0">
        <f>IF(E397=0,"",(J397/E397))</f>
        <v/>
      </c>
    </row>
    <row r="398">
      <c r="C398" s="1" t="n">
        <v>46141</v>
      </c>
      <c r="D398" s="1">
        <f>TEXT(C398,"aaa")</f>
        <v/>
      </c>
      <c r="F398" s="0">
        <f>IF(E398=0,"",(E398-G398))</f>
        <v/>
      </c>
      <c r="J398" s="0">
        <f>IF(H398=0,"",(H398-I398))</f>
        <v/>
      </c>
      <c r="K398" s="0">
        <f>IF(E398=0,"",(J398/E398))</f>
        <v/>
      </c>
    </row>
    <row r="399">
      <c r="C399" s="1" t="n">
        <v>46142</v>
      </c>
      <c r="D399" s="1">
        <f>TEXT(C399,"aaa")</f>
        <v/>
      </c>
      <c r="F399" s="0">
        <f>IF(E399=0,"",(E399-G399))</f>
        <v/>
      </c>
      <c r="J399" s="0">
        <f>IF(H399=0,"",(H399-I399))</f>
        <v/>
      </c>
      <c r="K399" s="0">
        <f>IF(E399=0,"",(J399/E399))</f>
        <v/>
      </c>
    </row>
    <row r="400">
      <c r="C400" s="1" t="n"/>
      <c r="D400" s="1" t="n"/>
    </row>
  </sheetData>
  <mergeCells count="8">
    <mergeCell ref="AR3:AU3"/>
    <mergeCell ref="AL3:AP3"/>
    <mergeCell ref="T3:W3"/>
    <mergeCell ref="H3:K3"/>
    <mergeCell ref="AC3:AE3"/>
    <mergeCell ref="E3:G3"/>
    <mergeCell ref="AF3:AK3"/>
    <mergeCell ref="N3:S3"/>
  </mergeCells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J16"/>
  <sheetViews>
    <sheetView zoomScale="90" zoomScaleNormal="90" workbookViewId="0">
      <selection activeCell="C15" sqref="C15"/>
    </sheetView>
  </sheetViews>
  <sheetFormatPr baseColWidth="8" defaultRowHeight="18"/>
  <cols>
    <col width="3" customWidth="1" style="47" min="1" max="1"/>
  </cols>
  <sheetData>
    <row r="2">
      <c r="B2" s="0" t="inlineStr">
        <is>
          <t>●R6.旭志成績まとめ</t>
        </is>
      </c>
    </row>
    <row r="3">
      <c r="C3" s="0" t="inlineStr">
        <is>
          <t>（頭）</t>
        </is>
      </c>
      <c r="D3" s="0" t="inlineStr">
        <is>
          <t>（kg）</t>
        </is>
      </c>
      <c r="E3" s="0" t="inlineStr">
        <is>
          <t>（％）</t>
        </is>
      </c>
      <c r="F3" s="0" t="inlineStr">
        <is>
          <t>（g）</t>
        </is>
      </c>
      <c r="G3" s="44" t="inlineStr">
        <is>
          <t>（頭）</t>
        </is>
      </c>
      <c r="I3" s="44" t="inlineStr">
        <is>
          <t>（％）</t>
        </is>
      </c>
    </row>
    <row r="4">
      <c r="B4" s="0" t="inlineStr">
        <is>
          <t>月</t>
        </is>
      </c>
      <c r="C4" s="0" t="inlineStr">
        <is>
          <t>出荷</t>
        </is>
      </c>
      <c r="D4" s="0" t="inlineStr">
        <is>
          <t>枝重</t>
        </is>
      </c>
      <c r="E4" s="0" t="inlineStr">
        <is>
          <t>上物率</t>
        </is>
      </c>
      <c r="F4" s="0" t="inlineStr">
        <is>
          <t>D.G</t>
        </is>
      </c>
      <c r="G4" s="0" t="inlineStr">
        <is>
          <t>導入</t>
        </is>
      </c>
      <c r="H4" s="0" t="inlineStr">
        <is>
          <t>死亡</t>
        </is>
      </c>
      <c r="I4" s="0" t="inlineStr">
        <is>
          <t>事故率</t>
        </is>
      </c>
      <c r="J4" s="0" t="inlineStr">
        <is>
          <t>トビ</t>
        </is>
      </c>
    </row>
    <row r="5">
      <c r="B5" s="0" t="n">
        <v>4</v>
      </c>
      <c r="C5" s="0" t="n">
        <v>1710</v>
      </c>
      <c r="D5" s="0" t="n">
        <v>74</v>
      </c>
      <c r="E5" s="0" t="n">
        <v>73.5</v>
      </c>
      <c r="F5" s="0" t="n">
        <v>797</v>
      </c>
      <c r="G5" s="0" t="n">
        <v>1815</v>
      </c>
      <c r="H5" s="0" t="n">
        <v>97</v>
      </c>
      <c r="I5" s="0" t="n">
        <v>5.4</v>
      </c>
    </row>
    <row r="6">
      <c r="B6" s="0" t="n">
        <v>5</v>
      </c>
      <c r="C6" s="0" t="n">
        <v>2296</v>
      </c>
      <c r="D6" s="0" t="n">
        <v>78</v>
      </c>
      <c r="E6" s="0" t="n">
        <v>74.59999999999999</v>
      </c>
      <c r="F6" s="0" t="n">
        <v>844</v>
      </c>
      <c r="G6" s="0" t="n">
        <v>2263</v>
      </c>
      <c r="H6" s="0" t="n">
        <v>97</v>
      </c>
      <c r="I6" s="0" t="n">
        <v>4.3</v>
      </c>
    </row>
    <row r="7">
      <c r="B7" s="0" t="n">
        <v>6</v>
      </c>
      <c r="C7" s="0" t="n">
        <v>1871</v>
      </c>
      <c r="D7" s="0" t="n">
        <v>79</v>
      </c>
      <c r="E7" s="0" t="n">
        <v>82.90000000000001</v>
      </c>
      <c r="F7" s="0" t="n">
        <v>909</v>
      </c>
      <c r="G7" s="0" t="n">
        <v>1837</v>
      </c>
      <c r="H7" s="0" t="n">
        <v>51</v>
      </c>
      <c r="I7" s="0" t="n">
        <v>2.8</v>
      </c>
    </row>
    <row r="8">
      <c r="B8" s="0" t="n">
        <v>7</v>
      </c>
    </row>
    <row r="9">
      <c r="B9" s="0" t="n">
        <v>8</v>
      </c>
      <c r="C9" s="0" t="n">
        <v>1900</v>
      </c>
      <c r="D9" s="0" t="n">
        <v>78</v>
      </c>
      <c r="E9" s="0" t="n">
        <v>73.40000000000001</v>
      </c>
      <c r="F9" s="0" t="n">
        <v>821</v>
      </c>
      <c r="G9" s="0" t="n">
        <v>2129</v>
      </c>
      <c r="H9" s="0" t="n">
        <v>87</v>
      </c>
      <c r="I9" s="0" t="n">
        <v>4.1</v>
      </c>
    </row>
    <row r="10">
      <c r="B10" s="0" t="n">
        <v>9</v>
      </c>
      <c r="C10" s="0" t="n">
        <v>1695</v>
      </c>
      <c r="D10" s="0" t="n">
        <v>78</v>
      </c>
      <c r="E10" s="0" t="n">
        <v>72.2</v>
      </c>
      <c r="F10" s="0" t="n">
        <v>815</v>
      </c>
      <c r="G10" s="0" t="n">
        <v>1863</v>
      </c>
      <c r="H10" s="0" t="n">
        <v>50</v>
      </c>
      <c r="I10" s="0" t="n">
        <v>2.7</v>
      </c>
    </row>
    <row r="11">
      <c r="B11" s="0" t="n">
        <v>10</v>
      </c>
    </row>
    <row r="12">
      <c r="B12" s="0" t="n">
        <v>11</v>
      </c>
    </row>
    <row r="13">
      <c r="B13" s="0" t="n">
        <v>12</v>
      </c>
    </row>
    <row r="14">
      <c r="B14" s="0" t="n">
        <v>1</v>
      </c>
    </row>
    <row r="15">
      <c r="B15" s="0" t="n">
        <v>2</v>
      </c>
    </row>
    <row r="16">
      <c r="B16" s="0" t="n">
        <v>3</v>
      </c>
    </row>
  </sheetData>
  <mergeCells count="2">
    <mergeCell ref="G3:H3"/>
    <mergeCell ref="I3:J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春菜 白濱</dc:creator>
  <dcterms:created xsi:type="dcterms:W3CDTF">2025-06-28T21:03:50Z</dcterms:created>
  <dcterms:modified xsi:type="dcterms:W3CDTF">2026-07-02T08:29:30Z</dcterms:modified>
  <cp:lastModifiedBy>noujou kyokushi</cp:lastModifiedBy>
</cp:coreProperties>
</file>