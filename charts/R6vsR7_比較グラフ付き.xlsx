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6-R7比較データ" sheetId="1" state="visible" r:id="rId1"/>
    <sheet name="①出荷頭数比較" sheetId="2" state="visible" r:id="rId2"/>
    <sheet name="②歩留まり率比較" sheetId="3" state="visible" r:id="rId3"/>
    <sheet name="③上物率比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27AE60"/>
    </font>
    <font>
      <b val="1"/>
      <color rgb="00C0392B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vs R7 月別出荷頭数比較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'R6-R7比較データ'!B2</f>
            </strRef>
          </tx>
          <spPr>
            <a:solidFill>
              <a:srgbClr val="E67E22"/>
            </a:solidFill>
            <a:ln>
              <a:prstDash val="solid"/>
            </a:ln>
          </spPr>
          <cat>
            <numRef>
              <f>'R6-R7比較データ'!$A$3:$A$14</f>
            </numRef>
          </cat>
          <val>
            <numRef>
              <f>'R6-R7比較データ'!$B$3:$B$14</f>
            </numRef>
          </val>
        </ser>
        <ser>
          <idx val="1"/>
          <order val="1"/>
          <tx>
            <strRef>
              <f>'R6-R7比較データ'!C2</f>
            </strRef>
          </tx>
          <spPr>
            <a:solidFill>
              <a:srgbClr val="4A90D9"/>
            </a:solidFill>
            <a:ln>
              <a:prstDash val="solid"/>
            </a:ln>
          </spPr>
          <cat>
            <numRef>
              <f>'R6-R7比較データ'!$A$3:$A$14</f>
            </numRef>
          </cat>
          <val>
            <numRef>
              <f>'R6-R7比較データ'!$C$3:$C$14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頭数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vs R7 月別歩留まり率比較</a:t>
            </a:r>
          </a:p>
        </rich>
      </tx>
    </title>
    <plotArea>
      <lineChart>
        <grouping val="standard"/>
        <ser>
          <idx val="0"/>
          <order val="0"/>
          <tx>
            <strRef>
              <f>'R6-R7比較データ'!E2</f>
            </strRef>
          </tx>
          <spPr>
            <a:ln w="25000">
              <a:solidFill>
                <a:srgbClr val="E67E22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'R6-R7比較データ'!$A$3:$A$14</f>
            </numRef>
          </cat>
          <val>
            <numRef>
              <f>'R6-R7比較データ'!$E$3:$E$14</f>
            </numRef>
          </val>
        </ser>
        <ser>
          <idx val="1"/>
          <order val="1"/>
          <tx>
            <strRef>
              <f>'R6-R7比較データ'!F2</f>
            </strRef>
          </tx>
          <spPr>
            <a:ln w="25000">
              <a:solidFill>
                <a:srgbClr val="4A90D9"/>
              </a:solidFill>
              <a:prstDash val="solid"/>
            </a:ln>
          </spPr>
          <marker>
            <symbol val="square"/>
            <spPr>
              <a:ln>
                <a:prstDash val="solid"/>
              </a:ln>
            </spPr>
          </marker>
          <cat>
            <numRef>
              <f>'R6-R7比較データ'!$A$3:$A$14</f>
            </numRef>
          </cat>
          <val>
            <numRef>
              <f>'R6-R7比較データ'!$F$3:$F$14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6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歩留まり率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R6 vs R7 月別上物率比較</a:t>
            </a:r>
          </a:p>
        </rich>
      </tx>
    </title>
    <plotArea>
      <lineChart>
        <grouping val="standard"/>
        <ser>
          <idx val="0"/>
          <order val="0"/>
          <tx>
            <strRef>
              <f>'R6-R7比較データ'!G2</f>
            </strRef>
          </tx>
          <spPr>
            <a:ln w="25000">
              <a:solidFill>
                <a:srgbClr val="E67E22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'R6-R7比較データ'!$A$3:$A$14</f>
            </numRef>
          </cat>
          <val>
            <numRef>
              <f>'R6-R7比較データ'!$G$3:$G$14</f>
            </numRef>
          </val>
        </ser>
        <ser>
          <idx val="1"/>
          <order val="1"/>
          <tx>
            <strRef>
              <f>'R6-R7比較データ'!H2</f>
            </strRef>
          </tx>
          <spPr>
            <a:ln w="25000">
              <a:solidFill>
                <a:srgbClr val="4A90D9"/>
              </a:solidFill>
              <a:prstDash val="solid"/>
            </a:ln>
          </spPr>
          <marker>
            <symbol val="square"/>
            <spPr>
              <a:ln>
                <a:prstDash val="solid"/>
              </a:ln>
            </spPr>
          </marker>
          <cat>
            <numRef>
              <f>'R6-R7比較データ'!$A$3:$A$14</f>
            </numRef>
          </cat>
          <val>
            <numRef>
              <f>'R6-R7比較データ'!$H$3:$H$14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6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上物率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● R6 vs R7 月別成績 比較表</t>
        </is>
      </c>
    </row>
    <row r="2" ht="22" customHeight="1">
      <c r="A2" s="2" t="inlineStr">
        <is>
          <t>月</t>
        </is>
      </c>
      <c r="B2" s="2" t="inlineStr">
        <is>
          <t>R6 出荷頭数</t>
        </is>
      </c>
      <c r="C2" s="2" t="inlineStr">
        <is>
          <t>R7 出荷頭数</t>
        </is>
      </c>
      <c r="D2" s="2" t="inlineStr">
        <is>
          <t>増減（頭）</t>
        </is>
      </c>
      <c r="E2" s="2" t="inlineStr">
        <is>
          <t>R6 歩留（%）</t>
        </is>
      </c>
      <c r="F2" s="2" t="inlineStr">
        <is>
          <t>R7 歩留（%）</t>
        </is>
      </c>
      <c r="G2" s="2" t="inlineStr">
        <is>
          <t>R6 上物率（%）</t>
        </is>
      </c>
      <c r="H2" s="2" t="inlineStr">
        <is>
          <t>R7 上物率（%）</t>
        </is>
      </c>
      <c r="I2" s="2" t="inlineStr">
        <is>
          <t>R6 枝重</t>
        </is>
      </c>
      <c r="J2" s="2" t="inlineStr">
        <is>
          <t>R7 枝重</t>
        </is>
      </c>
    </row>
    <row r="3">
      <c r="A3" s="3" t="inlineStr">
        <is>
          <t>4月</t>
        </is>
      </c>
      <c r="B3" s="3" t="n">
        <v>1761</v>
      </c>
      <c r="C3" s="3" t="n">
        <v>2121</v>
      </c>
      <c r="D3" s="4" t="n">
        <v>360</v>
      </c>
      <c r="E3" s="3" t="n">
        <v>67.15000000000001</v>
      </c>
      <c r="F3" s="3" t="n">
        <v>67.16</v>
      </c>
      <c r="G3" s="3" t="n">
        <v>75.41</v>
      </c>
      <c r="H3" s="3" t="n">
        <v>79.3</v>
      </c>
      <c r="I3" s="3" t="n">
        <v>78.33</v>
      </c>
      <c r="J3" s="3" t="n">
        <v>76.79000000000001</v>
      </c>
    </row>
    <row r="4">
      <c r="A4" s="5" t="inlineStr">
        <is>
          <t>5月</t>
        </is>
      </c>
      <c r="B4" s="5" t="n">
        <v>1671</v>
      </c>
      <c r="C4" s="5" t="n">
        <v>2190</v>
      </c>
      <c r="D4" s="6" t="n">
        <v>519</v>
      </c>
      <c r="E4" s="5" t="n">
        <v>67.40000000000001</v>
      </c>
      <c r="F4" s="5" t="n">
        <v>67.33</v>
      </c>
      <c r="G4" s="5" t="n">
        <v>81.81</v>
      </c>
      <c r="H4" s="5" t="n">
        <v>82.15000000000001</v>
      </c>
      <c r="I4" s="5" t="n">
        <v>78.54000000000001</v>
      </c>
      <c r="J4" s="5" t="n">
        <v>78.54000000000001</v>
      </c>
    </row>
    <row r="5">
      <c r="A5" s="3" t="inlineStr">
        <is>
          <t>6月</t>
        </is>
      </c>
      <c r="B5" s="3" t="n">
        <v>1160</v>
      </c>
      <c r="C5" s="3" t="n">
        <v>1809</v>
      </c>
      <c r="D5" s="4" t="n">
        <v>649</v>
      </c>
      <c r="E5" s="3" t="n">
        <v>67.5</v>
      </c>
      <c r="F5" s="3" t="n">
        <v>67.03</v>
      </c>
      <c r="G5" s="3" t="n">
        <v>84.31</v>
      </c>
      <c r="H5" s="3" t="n">
        <v>87.45</v>
      </c>
      <c r="I5" s="3" t="n">
        <v>75.84999999999999</v>
      </c>
      <c r="J5" s="3" t="n">
        <v>78.91</v>
      </c>
    </row>
    <row r="6">
      <c r="A6" s="5" t="inlineStr">
        <is>
          <t>7月</t>
        </is>
      </c>
      <c r="B6" s="5" t="n">
        <v>1210</v>
      </c>
      <c r="C6" s="5" t="n">
        <v>2009</v>
      </c>
      <c r="D6" s="6" t="n">
        <v>799</v>
      </c>
      <c r="E6" s="5" t="n">
        <v>67.41</v>
      </c>
      <c r="F6" s="5" t="n">
        <v>67.44</v>
      </c>
      <c r="G6" s="5" t="n">
        <v>74.95999999999999</v>
      </c>
      <c r="H6" s="5" t="n">
        <v>91.48999999999999</v>
      </c>
      <c r="I6" s="5" t="n">
        <v>77.61</v>
      </c>
      <c r="J6" s="5" t="n">
        <v>77.40000000000001</v>
      </c>
    </row>
    <row r="7">
      <c r="A7" s="3" t="inlineStr">
        <is>
          <t>8月</t>
        </is>
      </c>
      <c r="B7" s="3" t="n">
        <v>1536</v>
      </c>
      <c r="C7" s="3" t="n">
        <v>2029</v>
      </c>
      <c r="D7" s="4" t="n">
        <v>493</v>
      </c>
      <c r="E7" s="3" t="n">
        <v>68.06</v>
      </c>
      <c r="F7" s="3" t="n">
        <v>67.12</v>
      </c>
      <c r="G7" s="3" t="n">
        <v>73.18000000000001</v>
      </c>
      <c r="H7" s="3" t="n">
        <v>83.39</v>
      </c>
      <c r="I7" s="3" t="n">
        <v>79.03</v>
      </c>
      <c r="J7" s="3" t="n">
        <v>74.77</v>
      </c>
    </row>
    <row r="8">
      <c r="A8" s="5" t="inlineStr">
        <is>
          <t>9月</t>
        </is>
      </c>
      <c r="B8" s="5" t="n">
        <v>1510</v>
      </c>
      <c r="C8" s="5" t="n">
        <v>1940</v>
      </c>
      <c r="D8" s="6" t="n">
        <v>430</v>
      </c>
      <c r="E8" s="5" t="n">
        <v>67.15000000000001</v>
      </c>
      <c r="F8" s="5" t="n">
        <v>66.18000000000001</v>
      </c>
      <c r="G8" s="5" t="n">
        <v>79.93000000000001</v>
      </c>
      <c r="H8" s="5" t="n">
        <v>75.88</v>
      </c>
      <c r="I8" s="5" t="n">
        <v>75.68000000000001</v>
      </c>
      <c r="J8" s="5" t="n">
        <v>72.92</v>
      </c>
    </row>
    <row r="9">
      <c r="A9" s="3" t="inlineStr">
        <is>
          <t>10月</t>
        </is>
      </c>
      <c r="B9" s="3" t="n">
        <v>1801</v>
      </c>
      <c r="C9" s="3" t="n">
        <v>1800</v>
      </c>
      <c r="D9" s="7" t="n">
        <v>-1</v>
      </c>
      <c r="E9" s="3" t="n">
        <v>67.06999999999999</v>
      </c>
      <c r="F9" s="3" t="n">
        <v>66.27</v>
      </c>
      <c r="G9" s="3" t="n">
        <v>75.23999999999999</v>
      </c>
      <c r="H9" s="3" t="n">
        <v>75.56</v>
      </c>
      <c r="I9" s="3" t="n">
        <v>79.63</v>
      </c>
      <c r="J9" s="3" t="n">
        <v>73.51000000000001</v>
      </c>
    </row>
    <row r="10">
      <c r="A10" s="5" t="inlineStr">
        <is>
          <t>11月</t>
        </is>
      </c>
      <c r="B10" s="5" t="n">
        <v>1982</v>
      </c>
      <c r="C10" s="5" t="n">
        <v>1750</v>
      </c>
      <c r="D10" s="8" t="n">
        <v>-232</v>
      </c>
      <c r="E10" s="5" t="n">
        <v>67.09999999999999</v>
      </c>
      <c r="F10" s="5" t="n">
        <v>66.66</v>
      </c>
      <c r="G10" s="5" t="n">
        <v>82.59</v>
      </c>
      <c r="H10" s="5" t="n">
        <v>73.77</v>
      </c>
      <c r="I10" s="5" t="n">
        <v>78.64</v>
      </c>
      <c r="J10" s="5" t="n">
        <v>78.89</v>
      </c>
    </row>
    <row r="11">
      <c r="A11" s="3" t="inlineStr">
        <is>
          <t>12月</t>
        </is>
      </c>
      <c r="B11" s="3" t="n">
        <v>1992</v>
      </c>
      <c r="C11" s="3" t="n">
        <v>2202</v>
      </c>
      <c r="D11" s="4" t="n">
        <v>210</v>
      </c>
      <c r="E11" s="3" t="n">
        <v>67.67</v>
      </c>
      <c r="F11" s="3" t="n">
        <v>66.73</v>
      </c>
      <c r="G11" s="3" t="n">
        <v>82.43000000000001</v>
      </c>
      <c r="H11" s="3" t="n">
        <v>75.11</v>
      </c>
      <c r="I11" s="3" t="n">
        <v>74.19</v>
      </c>
      <c r="J11" s="3" t="n">
        <v>79.22</v>
      </c>
    </row>
    <row r="12">
      <c r="A12" s="5" t="inlineStr">
        <is>
          <t>1月</t>
        </is>
      </c>
      <c r="B12" s="5" t="n">
        <v>1801</v>
      </c>
      <c r="C12" s="5" t="n">
        <v>1749</v>
      </c>
      <c r="D12" s="8" t="n">
        <v>-52</v>
      </c>
      <c r="E12" s="5" t="n">
        <v>67.56999999999999</v>
      </c>
      <c r="F12" s="5" t="n">
        <v>66.73999999999999</v>
      </c>
      <c r="G12" s="5" t="n">
        <v>81.51000000000001</v>
      </c>
      <c r="H12" s="5" t="n">
        <v>78.22</v>
      </c>
      <c r="I12" s="5" t="n">
        <v>79.06</v>
      </c>
      <c r="J12" s="5" t="n">
        <v>79.48999999999999</v>
      </c>
    </row>
    <row r="13">
      <c r="A13" s="3" t="inlineStr">
        <is>
          <t>2月</t>
        </is>
      </c>
      <c r="B13" s="3" t="n">
        <v>1812</v>
      </c>
      <c r="C13" s="3" t="n">
        <v>1520</v>
      </c>
      <c r="D13" s="7" t="n">
        <v>-292</v>
      </c>
      <c r="E13" s="3" t="n">
        <v>67.92</v>
      </c>
      <c r="F13" s="3" t="n">
        <v>67.37</v>
      </c>
      <c r="G13" s="3" t="n">
        <v>82.06</v>
      </c>
      <c r="H13" s="3" t="n">
        <v>81.25</v>
      </c>
      <c r="I13" s="3" t="n">
        <v>75.98</v>
      </c>
      <c r="J13" s="3" t="n">
        <v>79.31999999999999</v>
      </c>
    </row>
    <row r="14">
      <c r="A14" s="5" t="inlineStr">
        <is>
          <t>3月</t>
        </is>
      </c>
      <c r="B14" s="5" t="n">
        <v>1950</v>
      </c>
      <c r="C14" s="5" t="n">
        <v>1610</v>
      </c>
      <c r="D14" s="8" t="n">
        <v>-340</v>
      </c>
      <c r="E14" s="5" t="n">
        <v>67.41</v>
      </c>
      <c r="F14" s="5" t="n">
        <v>66.73999999999999</v>
      </c>
      <c r="G14" s="5" t="n">
        <v>80.31</v>
      </c>
      <c r="H14" s="5" t="n">
        <v>79.94</v>
      </c>
      <c r="I14" s="5" t="n">
        <v>76.45999999999999</v>
      </c>
      <c r="J14" s="5" t="n">
        <v>78.26000000000001</v>
      </c>
    </row>
    <row r="15">
      <c r="A15" s="9" t="inlineStr">
        <is>
          <t>年間計/平均</t>
        </is>
      </c>
      <c r="B15" s="9" t="n">
        <v>20186</v>
      </c>
      <c r="C15" s="9" t="n">
        <v>22729</v>
      </c>
      <c r="D15" s="9" t="n">
        <v>2543</v>
      </c>
      <c r="E15" s="9" t="n">
        <v>67.45</v>
      </c>
      <c r="F15" s="9" t="n">
        <v>66.90000000000001</v>
      </c>
      <c r="G15" s="9" t="n">
        <v>79.48</v>
      </c>
      <c r="H15" s="9" t="n">
        <v>80.29000000000001</v>
      </c>
      <c r="I15" s="9" t="n">
        <v>77.42</v>
      </c>
      <c r="J15" s="9" t="n">
        <v>77.33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出荷頭数比較（橙=R6、青=R7）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歩留まり率比較（橙=R6、青=R7）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上物率比較（橙=R6、青=R7）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2026-06-15T08:28:16Z</dcterms:created>
  <dcterms:modified xsi:type="dcterms:W3CDTF">2026-06-15T08:28:16Z</dcterms:modified>
</cp:coreProperties>
</file>