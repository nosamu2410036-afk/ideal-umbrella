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別データ" sheetId="1" state="visible" r:id="rId1"/>
    <sheet name="①出荷頭数" sheetId="2" state="visible" r:id="rId2"/>
    <sheet name="②歩留まり率" sheetId="3" state="visible" r:id="rId3"/>
    <sheet name="③上物率" sheetId="4" state="visible" r:id="rId4"/>
    <sheet name="④平均枝重" sheetId="5" state="visible" r:id="rId5"/>
    <sheet name="⑤単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27AE60"/>
    </font>
    <font>
      <b val="1"/>
      <color rgb="00C0392B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R6 月別出荷頭数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'月別データ'!B2</f>
            </strRef>
          </tx>
          <spPr>
            <a:solidFill>
              <a:srgbClr val="4A90D9"/>
            </a:solidFill>
            <a:ln>
              <a:prstDash val="solid"/>
            </a:ln>
          </spPr>
          <cat>
            <numRef>
              <f>'月別データ'!$A$3:$A$14</f>
            </numRef>
          </cat>
          <val>
            <numRef>
              <f>'月別データ'!$B$3:$B$14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頭数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R6 月別歩留まり率</a:t>
            </a:r>
          </a:p>
        </rich>
      </tx>
    </title>
    <plotArea>
      <lineChart>
        <grouping val="standard"/>
        <ser>
          <idx val="0"/>
          <order val="0"/>
          <tx>
            <strRef>
              <f>'月別データ'!D2</f>
            </strRef>
          </tx>
          <spPr>
            <a:ln w="25000">
              <a:solidFill>
                <a:srgbClr val="E74C3C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'月別データ'!$A$3:$A$14</f>
            </numRef>
          </cat>
          <val>
            <numRef>
              <f>'月別データ'!$D$3:$D$14</f>
            </numRef>
          </val>
        </ser>
        <ser>
          <idx val="1"/>
          <order val="1"/>
          <tx>
            <strRef>
              <f>'月別データ'!H2</f>
            </strRef>
          </tx>
          <spPr>
            <a:ln w="20000">
              <a:solidFill>
                <a:srgbClr val="27A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'月別データ'!$H$3:$H$14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0"/>
          <min val="6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歩留まり率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R6 月別上物率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'月別データ'!E2</f>
            </strRef>
          </tx>
          <spPr>
            <a:solidFill>
              <a:srgbClr val="E67E22"/>
            </a:solidFill>
            <a:ln>
              <a:prstDash val="solid"/>
            </a:ln>
          </spPr>
          <cat>
            <numRef>
              <f>'月別データ'!$A$3:$A$14</f>
            </numRef>
          </cat>
          <val>
            <numRef>
              <f>'月別データ'!$E$3:$E$14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'月別データ'!I2</f>
            </strRef>
          </tx>
          <spPr>
            <a:ln w="20000">
              <a:solidFill>
                <a:srgbClr val="27A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'月別データ'!$I$3:$I$14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6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上物率 (%)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R6 月別平均枝重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'月別データ'!C2</f>
            </strRef>
          </tx>
          <spPr>
            <a:solidFill>
              <a:srgbClr val="16A085"/>
            </a:solidFill>
            <a:ln>
              <a:prstDash val="solid"/>
            </a:ln>
          </spPr>
          <cat>
            <numRef>
              <f>'月別データ'!$A$3:$A$14</f>
            </numRef>
          </cat>
          <val>
            <numRef>
              <f>'月別データ'!$C$3:$C$14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85"/>
          <min val="7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枝重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R6 月別単価推移</a:t>
            </a:r>
          </a:p>
        </rich>
      </tx>
    </title>
    <plotArea>
      <lineChart>
        <grouping val="standard"/>
        <ser>
          <idx val="0"/>
          <order val="0"/>
          <tx>
            <strRef>
              <f>'月別データ'!F2</f>
            </strRef>
          </tx>
          <spPr>
            <a:ln w="25000">
              <a:solidFill>
                <a:srgbClr val="8E44AD"/>
              </a:solidFill>
              <a:prstDash val="solid"/>
            </a:ln>
          </spPr>
          <marker>
            <symbol val="diamond"/>
            <size val="7"/>
            <spPr>
              <a:ln>
                <a:prstDash val="solid"/>
              </a:ln>
            </spPr>
          </marker>
          <cat>
            <numRef>
              <f>'月別データ'!$A$3:$A$14</f>
            </numRef>
          </cat>
          <val>
            <numRef>
              <f>'月別データ'!$F$3:$F$14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単価 (円/kg)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● R6 豚出荷 月別成績表</t>
        </is>
      </c>
    </row>
    <row r="2" ht="22" customHeight="1">
      <c r="A2" s="2" t="inlineStr">
        <is>
          <t>月</t>
        </is>
      </c>
      <c r="B2" s="2" t="inlineStr">
        <is>
          <t>出荷頭数（頭）</t>
        </is>
      </c>
      <c r="C2" s="2" t="inlineStr">
        <is>
          <t>平均枝重（kg）</t>
        </is>
      </c>
      <c r="D2" s="2" t="inlineStr">
        <is>
          <t>歩留まり率（%）</t>
        </is>
      </c>
      <c r="E2" s="2" t="inlineStr">
        <is>
          <t>上物率（%）</t>
        </is>
      </c>
      <c r="F2" s="2" t="inlineStr">
        <is>
          <t>単価（円/kg）</t>
        </is>
      </c>
      <c r="H2" t="inlineStr">
        <is>
          <t>KPI(67%)</t>
        </is>
      </c>
      <c r="I2" t="inlineStr">
        <is>
          <t>KPI(90%)</t>
        </is>
      </c>
    </row>
    <row r="3">
      <c r="A3" s="3" t="inlineStr">
        <is>
          <t>4月</t>
        </is>
      </c>
      <c r="B3" s="3" t="n">
        <v>1761</v>
      </c>
      <c r="C3" s="3" t="n">
        <v>78.33</v>
      </c>
      <c r="D3" s="4" t="n">
        <v>67.15000000000001</v>
      </c>
      <c r="E3" s="5" t="n">
        <v>75.41</v>
      </c>
      <c r="F3" s="3" t="n">
        <v>543.3</v>
      </c>
      <c r="H3" t="n">
        <v>67</v>
      </c>
      <c r="I3" t="n">
        <v>90</v>
      </c>
    </row>
    <row r="4">
      <c r="A4" s="6" t="inlineStr">
        <is>
          <t>5月</t>
        </is>
      </c>
      <c r="B4" s="6" t="n">
        <v>1671</v>
      </c>
      <c r="C4" s="6" t="n">
        <v>78.54000000000001</v>
      </c>
      <c r="D4" s="7" t="n">
        <v>67.40000000000001</v>
      </c>
      <c r="E4" s="8" t="n">
        <v>81.81</v>
      </c>
      <c r="F4" s="6" t="n">
        <v>641.5</v>
      </c>
      <c r="H4" t="n">
        <v>67</v>
      </c>
      <c r="I4" t="n">
        <v>90</v>
      </c>
    </row>
    <row r="5">
      <c r="A5" s="3" t="inlineStr">
        <is>
          <t>6月</t>
        </is>
      </c>
      <c r="B5" s="3" t="n">
        <v>1160</v>
      </c>
      <c r="C5" s="3" t="n">
        <v>75.84999999999999</v>
      </c>
      <c r="D5" s="4" t="n">
        <v>67.5</v>
      </c>
      <c r="E5" s="5" t="n">
        <v>84.31</v>
      </c>
      <c r="F5" s="3" t="n">
        <v>703.5</v>
      </c>
      <c r="H5" t="n">
        <v>67</v>
      </c>
      <c r="I5" t="n">
        <v>90</v>
      </c>
    </row>
    <row r="6">
      <c r="A6" s="6" t="inlineStr">
        <is>
          <t>7月</t>
        </is>
      </c>
      <c r="B6" s="6" t="n">
        <v>1210</v>
      </c>
      <c r="C6" s="6" t="n">
        <v>77.61</v>
      </c>
      <c r="D6" s="7" t="n">
        <v>67.41</v>
      </c>
      <c r="E6" s="8" t="n">
        <v>74.95999999999999</v>
      </c>
      <c r="F6" s="6" t="n">
        <v>768.1</v>
      </c>
      <c r="H6" t="n">
        <v>67</v>
      </c>
      <c r="I6" t="n">
        <v>90</v>
      </c>
    </row>
    <row r="7">
      <c r="A7" s="3" t="inlineStr">
        <is>
          <t>8月</t>
        </is>
      </c>
      <c r="B7" s="3" t="n">
        <v>1536</v>
      </c>
      <c r="C7" s="3" t="n">
        <v>79.03</v>
      </c>
      <c r="D7" s="4" t="n">
        <v>68.06</v>
      </c>
      <c r="E7" s="5" t="n">
        <v>73.18000000000001</v>
      </c>
      <c r="F7" s="3" t="n">
        <v>735.8</v>
      </c>
      <c r="H7" t="n">
        <v>67</v>
      </c>
      <c r="I7" t="n">
        <v>90</v>
      </c>
    </row>
    <row r="8">
      <c r="A8" s="6" t="inlineStr">
        <is>
          <t>9月</t>
        </is>
      </c>
      <c r="B8" s="6" t="n">
        <v>1510</v>
      </c>
      <c r="C8" s="6" t="n">
        <v>75.68000000000001</v>
      </c>
      <c r="D8" s="7" t="n">
        <v>67.15000000000001</v>
      </c>
      <c r="E8" s="8" t="n">
        <v>79.93000000000001</v>
      </c>
      <c r="F8" s="6" t="n">
        <v>654.3</v>
      </c>
      <c r="H8" t="n">
        <v>67</v>
      </c>
      <c r="I8" t="n">
        <v>90</v>
      </c>
    </row>
    <row r="9">
      <c r="A9" s="3" t="inlineStr">
        <is>
          <t>10月</t>
        </is>
      </c>
      <c r="B9" s="3" t="n">
        <v>1801</v>
      </c>
      <c r="C9" s="3" t="n">
        <v>79.63</v>
      </c>
      <c r="D9" s="4" t="n">
        <v>67.06999999999999</v>
      </c>
      <c r="E9" s="5" t="n">
        <v>75.23999999999999</v>
      </c>
      <c r="F9" s="3" t="n">
        <v>569.6</v>
      </c>
      <c r="H9" t="n">
        <v>67</v>
      </c>
      <c r="I9" t="n">
        <v>90</v>
      </c>
    </row>
    <row r="10">
      <c r="A10" s="6" t="inlineStr">
        <is>
          <t>11月</t>
        </is>
      </c>
      <c r="B10" s="6" t="n">
        <v>1982</v>
      </c>
      <c r="C10" s="6" t="n">
        <v>78.64</v>
      </c>
      <c r="D10" s="7" t="n">
        <v>67.09999999999999</v>
      </c>
      <c r="E10" s="8" t="n">
        <v>82.59</v>
      </c>
      <c r="F10" s="6" t="n">
        <v>542.7</v>
      </c>
      <c r="H10" t="n">
        <v>67</v>
      </c>
      <c r="I10" t="n">
        <v>90</v>
      </c>
    </row>
    <row r="11">
      <c r="A11" s="3" t="inlineStr">
        <is>
          <t>12月</t>
        </is>
      </c>
      <c r="B11" s="3" t="n">
        <v>1992</v>
      </c>
      <c r="C11" s="3" t="n">
        <v>74.19</v>
      </c>
      <c r="D11" s="4" t="n">
        <v>67.67</v>
      </c>
      <c r="E11" s="5" t="n">
        <v>82.43000000000001</v>
      </c>
      <c r="F11" s="3" t="n">
        <v>571.5</v>
      </c>
      <c r="H11" t="n">
        <v>67</v>
      </c>
      <c r="I11" t="n">
        <v>90</v>
      </c>
    </row>
    <row r="12">
      <c r="A12" s="6" t="inlineStr">
        <is>
          <t>1月</t>
        </is>
      </c>
      <c r="B12" s="6" t="n">
        <v>1801</v>
      </c>
      <c r="C12" s="6" t="n">
        <v>79.06</v>
      </c>
      <c r="D12" s="7" t="n">
        <v>67.56999999999999</v>
      </c>
      <c r="E12" s="8" t="n">
        <v>81.51000000000001</v>
      </c>
      <c r="F12" s="6" t="n">
        <v>520.3</v>
      </c>
      <c r="H12" t="n">
        <v>67</v>
      </c>
      <c r="I12" t="n">
        <v>90</v>
      </c>
    </row>
    <row r="13">
      <c r="A13" s="3" t="inlineStr">
        <is>
          <t>2月</t>
        </is>
      </c>
      <c r="B13" s="3" t="n">
        <v>1812</v>
      </c>
      <c r="C13" s="3" t="n">
        <v>75.98</v>
      </c>
      <c r="D13" s="4" t="n">
        <v>67.92</v>
      </c>
      <c r="E13" s="5" t="n">
        <v>82.06</v>
      </c>
      <c r="F13" s="3" t="n">
        <v>570.9</v>
      </c>
      <c r="H13" t="n">
        <v>67</v>
      </c>
      <c r="I13" t="n">
        <v>90</v>
      </c>
    </row>
    <row r="14">
      <c r="A14" s="6" t="inlineStr">
        <is>
          <t>3月</t>
        </is>
      </c>
      <c r="B14" s="6" t="n">
        <v>1950</v>
      </c>
      <c r="C14" s="6" t="n">
        <v>76.45999999999999</v>
      </c>
      <c r="D14" s="7" t="n">
        <v>67.41</v>
      </c>
      <c r="E14" s="8" t="n">
        <v>80.31</v>
      </c>
      <c r="F14" s="6" t="n">
        <v>570.3</v>
      </c>
      <c r="H14" t="n">
        <v>67</v>
      </c>
      <c r="I14" t="n">
        <v>90</v>
      </c>
    </row>
    <row r="15">
      <c r="A15" s="9" t="inlineStr">
        <is>
          <t>年間合計/平均</t>
        </is>
      </c>
      <c r="B15" s="9" t="n">
        <v>20186</v>
      </c>
      <c r="C15" s="9" t="n">
        <v>77.42</v>
      </c>
      <c r="D15" s="9" t="n">
        <v>67.45</v>
      </c>
      <c r="E15" s="9" t="n">
        <v>79.48</v>
      </c>
      <c r="F15" s="9" t="n">
        <v>616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R6 出荷頭数グラフ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R6 歩留まり率グラフ（緑破線=KPI 67.0%）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R6 上物率グラフ（緑破線=KPI 90%）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R6 平均枝重グラフ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R6 単価推移グラフ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2026-06-15T08:28:16Z</dcterms:created>
  <dcterms:modified xsi:type="dcterms:W3CDTF">2026-06-15T08:28:16Z</dcterms:modified>
</cp:coreProperties>
</file>