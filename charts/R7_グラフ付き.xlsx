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データ" sheetId="1" state="visible" r:id="rId1"/>
    <sheet name="①出荷頭数" sheetId="2" state="visible" r:id="rId2"/>
    <sheet name="②歩留まり率" sheetId="3" state="visible" r:id="rId3"/>
    <sheet name="③上物率" sheetId="4" state="visible" r:id="rId4"/>
    <sheet name="④平均枝重" sheetId="5" state="visible" r:id="rId5"/>
    <sheet name="⑤単価" sheetId="6" state="visible" r:id="rId6"/>
    <sheet name="⑥D.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27AE60"/>
    </font>
    <font>
      <b val="1"/>
      <color rgb="00C0392B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R7 月別出荷頭数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'月別データ'!B2</f>
            </strRef>
          </tx>
          <spPr>
            <a:solidFill>
              <a:srgbClr val="4A90D9"/>
            </a:solidFill>
            <a:ln>
              <a:prstDash val="solid"/>
            </a:ln>
          </spPr>
          <cat>
            <numRef>
              <f>'月別データ'!$A$3:$A$14</f>
            </numRef>
          </cat>
          <val>
            <numRef>
              <f>'月別データ'!$B$3:$B$14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R7 月別歩留まり率</a:t>
            </a:r>
          </a:p>
        </rich>
      </tx>
    </title>
    <plotArea>
      <lineChart>
        <grouping val="standard"/>
        <ser>
          <idx val="0"/>
          <order val="0"/>
          <tx>
            <strRef>
              <f>'月別データ'!D2</f>
            </strRef>
          </tx>
          <spPr>
            <a:ln w="25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'月別データ'!$A$3:$A$14</f>
            </numRef>
          </cat>
          <val>
            <numRef>
              <f>'月別データ'!$D$3:$D$14</f>
            </numRef>
          </val>
        </ser>
        <ser>
          <idx val="1"/>
          <order val="1"/>
          <tx>
            <strRef>
              <f>'月別データ'!J2</f>
            </strRef>
          </tx>
          <spPr>
            <a:ln w="20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'月別データ'!$J$3:$J$14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6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歩留まり率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R7 月別上物率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'月別データ'!E2</f>
            </strRef>
          </tx>
          <spPr>
            <a:solidFill>
              <a:srgbClr val="E67E22"/>
            </a:solidFill>
            <a:ln>
              <a:prstDash val="solid"/>
            </a:ln>
          </spPr>
          <cat>
            <numRef>
              <f>'月別データ'!$A$3:$A$14</f>
            </numRef>
          </cat>
          <val>
            <numRef>
              <f>'月別データ'!$E$3:$E$14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'月別データ'!K2</f>
            </strRef>
          </tx>
          <spPr>
            <a:ln w="20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'月別データ'!$K$3:$K$14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6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上物率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R7 月別平均枝重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'月別データ'!C2</f>
            </strRef>
          </tx>
          <spPr>
            <a:solidFill>
              <a:srgbClr val="16A085"/>
            </a:solidFill>
            <a:ln>
              <a:prstDash val="solid"/>
            </a:ln>
          </spPr>
          <cat>
            <numRef>
              <f>'月別データ'!$A$3:$A$14</f>
            </numRef>
          </cat>
          <val>
            <numRef>
              <f>'月別データ'!$C$3:$C$14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5"/>
          <min val="7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枝重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R7 月別単価推移</a:t>
            </a:r>
          </a:p>
        </rich>
      </tx>
    </title>
    <plotArea>
      <lineChart>
        <grouping val="standard"/>
        <ser>
          <idx val="0"/>
          <order val="0"/>
          <tx>
            <strRef>
              <f>'月別データ'!F2</f>
            </strRef>
          </tx>
          <spPr>
            <a:ln w="25000">
              <a:solidFill>
                <a:srgbClr val="8E44AD"/>
              </a:solidFill>
              <a:prstDash val="solid"/>
            </a:ln>
          </spPr>
          <marker>
            <symbol val="diamond"/>
            <size val="7"/>
            <spPr>
              <a:ln>
                <a:prstDash val="solid"/>
              </a:ln>
            </spPr>
          </marker>
          <cat>
            <numRef>
              <f>'月別データ'!$A$3:$A$14</f>
            </numRef>
          </cat>
          <val>
            <numRef>
              <f>'月別データ'!$F$3:$F$14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単価 (円/kg)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R7 月別D.G（日増体量）</a:t>
            </a:r>
          </a:p>
        </rich>
      </tx>
    </title>
    <plotArea>
      <lineChart>
        <grouping val="standard"/>
        <ser>
          <idx val="0"/>
          <order val="0"/>
          <tx>
            <strRef>
              <f>'月別データ'!G2</f>
            </strRef>
          </tx>
          <spPr>
            <a:ln w="25000">
              <a:solidFill>
                <a:srgbClr val="2980B9"/>
              </a:solidFill>
              <a:prstDash val="solid"/>
            </a:ln>
          </spPr>
          <marker>
            <symbol val="square"/>
            <size val="7"/>
            <spPr>
              <a:ln>
                <a:prstDash val="solid"/>
              </a:ln>
            </spPr>
          </marker>
          <cat>
            <numRef>
              <f>'月別データ'!$A$3:$A$14</f>
            </numRef>
          </cat>
          <val>
            <numRef>
              <f>'月別データ'!$G$3:$G$14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D.G (g/日)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● R7 豚出荷 月別成績表</t>
        </is>
      </c>
    </row>
    <row r="2" ht="22" customHeight="1">
      <c r="A2" s="2" t="inlineStr">
        <is>
          <t>月</t>
        </is>
      </c>
      <c r="B2" s="2" t="inlineStr">
        <is>
          <t>出荷頭数（頭）</t>
        </is>
      </c>
      <c r="C2" s="2" t="inlineStr">
        <is>
          <t>平均枝重（kg）</t>
        </is>
      </c>
      <c r="D2" s="2" t="inlineStr">
        <is>
          <t>歩留まり率（%）</t>
        </is>
      </c>
      <c r="E2" s="2" t="inlineStr">
        <is>
          <t>上物率（%）</t>
        </is>
      </c>
      <c r="F2" s="2" t="inlineStr">
        <is>
          <t>単価（円/kg）</t>
        </is>
      </c>
      <c r="G2" s="2" t="inlineStr">
        <is>
          <t>D.G（g/日）</t>
        </is>
      </c>
      <c r="H2" s="2" t="inlineStr">
        <is>
          <t>出荷日齢（日）</t>
        </is>
      </c>
      <c r="J2" t="inlineStr">
        <is>
          <t>KPI(67%)</t>
        </is>
      </c>
      <c r="K2" t="inlineStr">
        <is>
          <t>KPI(90%)</t>
        </is>
      </c>
    </row>
    <row r="3">
      <c r="A3" s="3" t="inlineStr">
        <is>
          <t>4月</t>
        </is>
      </c>
      <c r="B3" s="3" t="n">
        <v>2121</v>
      </c>
      <c r="C3" s="3" t="n">
        <v>76.79000000000001</v>
      </c>
      <c r="D3" s="4" t="n">
        <v>67.16</v>
      </c>
      <c r="E3" s="5" t="n">
        <v>79.3</v>
      </c>
      <c r="F3" s="3" t="n">
        <v>563.3</v>
      </c>
      <c r="G3" s="3" t="n">
        <v>830.5</v>
      </c>
      <c r="H3" s="3" t="n">
        <v>180.3</v>
      </c>
      <c r="J3" t="n">
        <v>67</v>
      </c>
      <c r="K3" t="n">
        <v>90</v>
      </c>
    </row>
    <row r="4">
      <c r="A4" s="6" t="inlineStr">
        <is>
          <t>5月</t>
        </is>
      </c>
      <c r="B4" s="6" t="n">
        <v>2190</v>
      </c>
      <c r="C4" s="6" t="n">
        <v>78.54000000000001</v>
      </c>
      <c r="D4" s="7" t="n">
        <v>67.33</v>
      </c>
      <c r="E4" s="8" t="n">
        <v>82.15000000000001</v>
      </c>
      <c r="F4" s="6" t="n">
        <v>602.7</v>
      </c>
      <c r="G4" s="6" t="n">
        <v>858.2</v>
      </c>
      <c r="H4" s="6" t="n">
        <v>177</v>
      </c>
      <c r="J4" t="n">
        <v>67</v>
      </c>
      <c r="K4" t="n">
        <v>90</v>
      </c>
    </row>
    <row r="5">
      <c r="A5" s="3" t="inlineStr">
        <is>
          <t>6月</t>
        </is>
      </c>
      <c r="B5" s="3" t="n">
        <v>1809</v>
      </c>
      <c r="C5" s="3" t="n">
        <v>78.91</v>
      </c>
      <c r="D5" s="4" t="n">
        <v>67.03</v>
      </c>
      <c r="E5" s="5" t="n">
        <v>87.45</v>
      </c>
      <c r="F5" s="3" t="n">
        <v>717.4</v>
      </c>
      <c r="G5" s="3" t="n">
        <v>872.5</v>
      </c>
      <c r="H5" s="3" t="n">
        <v>174.4</v>
      </c>
      <c r="J5" t="n">
        <v>67</v>
      </c>
      <c r="K5" t="n">
        <v>90</v>
      </c>
    </row>
    <row r="6">
      <c r="A6" s="6" t="inlineStr">
        <is>
          <t>7月</t>
        </is>
      </c>
      <c r="B6" s="6" t="n">
        <v>2009</v>
      </c>
      <c r="C6" s="6" t="n">
        <v>77.40000000000001</v>
      </c>
      <c r="D6" s="7" t="n">
        <v>67.44</v>
      </c>
      <c r="E6" s="7" t="n">
        <v>91.48999999999999</v>
      </c>
      <c r="F6" s="6" t="n">
        <v>813.6</v>
      </c>
      <c r="G6" s="6" t="n">
        <v>815.1</v>
      </c>
      <c r="H6" s="6" t="n">
        <v>177.8</v>
      </c>
      <c r="J6" t="n">
        <v>67</v>
      </c>
      <c r="K6" t="n">
        <v>90</v>
      </c>
    </row>
    <row r="7">
      <c r="A7" s="3" t="inlineStr">
        <is>
          <t>8月</t>
        </is>
      </c>
      <c r="B7" s="3" t="n">
        <v>2029</v>
      </c>
      <c r="C7" s="3" t="n">
        <v>74.77</v>
      </c>
      <c r="D7" s="4" t="n">
        <v>67.12</v>
      </c>
      <c r="E7" s="5" t="n">
        <v>83.39</v>
      </c>
      <c r="F7" s="3" t="n">
        <v>703.2</v>
      </c>
      <c r="G7" s="3" t="n">
        <v>781.7</v>
      </c>
      <c r="H7" s="3" t="n">
        <v>175.4</v>
      </c>
      <c r="J7" t="n">
        <v>67</v>
      </c>
      <c r="K7" t="n">
        <v>90</v>
      </c>
    </row>
    <row r="8">
      <c r="A8" s="6" t="inlineStr">
        <is>
          <t>9月</t>
        </is>
      </c>
      <c r="B8" s="6" t="n">
        <v>1940</v>
      </c>
      <c r="C8" s="6" t="n">
        <v>72.92</v>
      </c>
      <c r="D8" s="8" t="n">
        <v>66.18000000000001</v>
      </c>
      <c r="E8" s="8" t="n">
        <v>75.88</v>
      </c>
      <c r="F8" s="6" t="n">
        <v>630.9</v>
      </c>
      <c r="G8" s="6" t="n">
        <v>769.9</v>
      </c>
      <c r="H8" s="6" t="n">
        <v>176.9</v>
      </c>
      <c r="J8" t="n">
        <v>67</v>
      </c>
      <c r="K8" t="n">
        <v>90</v>
      </c>
    </row>
    <row r="9">
      <c r="A9" s="3" t="inlineStr">
        <is>
          <t>10月</t>
        </is>
      </c>
      <c r="B9" s="3" t="n">
        <v>1800</v>
      </c>
      <c r="C9" s="3" t="n">
        <v>73.51000000000001</v>
      </c>
      <c r="D9" s="5" t="n">
        <v>66.27</v>
      </c>
      <c r="E9" s="5" t="n">
        <v>75.56</v>
      </c>
      <c r="F9" s="3" t="n">
        <v>540.9</v>
      </c>
      <c r="G9" s="3" t="n">
        <v>786.7</v>
      </c>
      <c r="H9" s="3" t="n">
        <v>177.5</v>
      </c>
      <c r="J9" t="n">
        <v>67</v>
      </c>
      <c r="K9" t="n">
        <v>90</v>
      </c>
    </row>
    <row r="10">
      <c r="A10" s="6" t="inlineStr">
        <is>
          <t>11月</t>
        </is>
      </c>
      <c r="B10" s="6" t="n">
        <v>1750</v>
      </c>
      <c r="C10" s="6" t="n">
        <v>78.89</v>
      </c>
      <c r="D10" s="8" t="n">
        <v>66.66</v>
      </c>
      <c r="E10" s="8" t="n">
        <v>73.77</v>
      </c>
      <c r="F10" s="6" t="n">
        <v>548.9</v>
      </c>
      <c r="G10" s="6" t="n">
        <v>839.9</v>
      </c>
      <c r="H10" s="6" t="n">
        <v>179.4</v>
      </c>
      <c r="J10" t="n">
        <v>67</v>
      </c>
      <c r="K10" t="n">
        <v>90</v>
      </c>
    </row>
    <row r="11">
      <c r="A11" s="3" t="inlineStr">
        <is>
          <t>12月</t>
        </is>
      </c>
      <c r="B11" s="3" t="n">
        <v>2202</v>
      </c>
      <c r="C11" s="3" t="n">
        <v>79.22</v>
      </c>
      <c r="D11" s="5" t="n">
        <v>66.73</v>
      </c>
      <c r="E11" s="5" t="n">
        <v>75.11</v>
      </c>
      <c r="F11" s="3" t="n">
        <v>547.9</v>
      </c>
      <c r="G11" s="3" t="n">
        <v>845.7</v>
      </c>
      <c r="H11" s="3" t="n">
        <v>179.1</v>
      </c>
      <c r="J11" t="n">
        <v>67</v>
      </c>
      <c r="K11" t="n">
        <v>90</v>
      </c>
    </row>
    <row r="12">
      <c r="A12" s="6" t="inlineStr">
        <is>
          <t>1月</t>
        </is>
      </c>
      <c r="B12" s="6" t="n">
        <v>1749</v>
      </c>
      <c r="C12" s="6" t="n">
        <v>79.48999999999999</v>
      </c>
      <c r="D12" s="8" t="n">
        <v>66.73999999999999</v>
      </c>
      <c r="E12" s="8" t="n">
        <v>78.22</v>
      </c>
      <c r="F12" s="6" t="n">
        <v>546.2</v>
      </c>
      <c r="G12" s="6" t="n">
        <v>843</v>
      </c>
      <c r="H12" s="6" t="n">
        <v>179.8</v>
      </c>
      <c r="J12" t="n">
        <v>67</v>
      </c>
      <c r="K12" t="n">
        <v>90</v>
      </c>
    </row>
    <row r="13">
      <c r="A13" s="3" t="inlineStr">
        <is>
          <t>2月</t>
        </is>
      </c>
      <c r="B13" s="3" t="n">
        <v>1520</v>
      </c>
      <c r="C13" s="3" t="n">
        <v>79.31999999999999</v>
      </c>
      <c r="D13" s="4" t="n">
        <v>67.37</v>
      </c>
      <c r="E13" s="5" t="n">
        <v>81.25</v>
      </c>
      <c r="F13" s="3" t="n">
        <v>550.2</v>
      </c>
      <c r="G13" s="3" t="n">
        <v>859.9</v>
      </c>
      <c r="H13" s="3" t="n">
        <v>177.1</v>
      </c>
      <c r="J13" t="n">
        <v>67</v>
      </c>
      <c r="K13" t="n">
        <v>90</v>
      </c>
    </row>
    <row r="14">
      <c r="A14" s="6" t="inlineStr">
        <is>
          <t>3月</t>
        </is>
      </c>
      <c r="B14" s="6" t="n">
        <v>1610</v>
      </c>
      <c r="C14" s="6" t="n">
        <v>78.26000000000001</v>
      </c>
      <c r="D14" s="8" t="n">
        <v>66.73999999999999</v>
      </c>
      <c r="E14" s="8" t="n">
        <v>79.94</v>
      </c>
      <c r="F14" s="6" t="n">
        <v>582.6</v>
      </c>
      <c r="G14" s="6" t="n">
        <v>820.5</v>
      </c>
      <c r="H14" s="6" t="n">
        <v>180.9</v>
      </c>
      <c r="J14" t="n">
        <v>67</v>
      </c>
      <c r="K14" t="n">
        <v>90</v>
      </c>
    </row>
    <row r="15">
      <c r="A15" s="9" t="inlineStr">
        <is>
          <t>年間合計/平均</t>
        </is>
      </c>
      <c r="B15" s="9" t="n">
        <v>22729</v>
      </c>
      <c r="C15" s="9" t="n">
        <v>77.33</v>
      </c>
      <c r="D15" s="9" t="n">
        <v>66.90000000000001</v>
      </c>
      <c r="E15" s="9" t="n">
        <v>80.29000000000001</v>
      </c>
      <c r="F15" s="9" t="n">
        <v>612.3</v>
      </c>
      <c r="G15" s="9" t="n">
        <v>827</v>
      </c>
      <c r="H15" s="9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R7 出荷頭数グラフ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R7 歩留まり率グラフ（緑破線=KPI 67.0%）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R7 上物率グラフ（緑破線=KPI 90%）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R7 平均枝重グラフ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R7 単価推移グラフ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R7 D.Gグラフ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2026-06-15T08:28:16Z</dcterms:created>
  <dcterms:modified xsi:type="dcterms:W3CDTF">2026-06-15T08:28:16Z</dcterms:modified>
</cp:coreProperties>
</file>